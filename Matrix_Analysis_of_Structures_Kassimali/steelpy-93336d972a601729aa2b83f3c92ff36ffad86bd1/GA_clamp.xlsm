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Temp\python\steelpy\steelpy\"/>
    </mc:Choice>
  </mc:AlternateContent>
  <xr:revisionPtr revIDLastSave="0" documentId="13_ncr:1_{87C4274B-0496-48BD-A1FB-BCD6BD24E9B7}" xr6:coauthVersionLast="47" xr6:coauthVersionMax="47" xr10:uidLastSave="{00000000-0000-0000-0000-000000000000}"/>
  <bookViews>
    <workbookView xWindow="31245" yWindow="1095" windowWidth="19170" windowHeight="14280" tabRatio="500" xr2:uid="{00000000-000D-0000-FFFF-FFFF00000000}"/>
  </bookViews>
  <sheets>
    <sheet name="Main" sheetId="1" r:id="rId1"/>
    <sheet name="Torque" sheetId="2" r:id="rId2"/>
    <sheet name="Ring_Forces" sheetId="3" r:id="rId3"/>
  </sheets>
  <definedNames>
    <definedName name="_xlnm._FilterDatabase" localSheetId="0" hidden="1">Main!$D$5:$D$5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7" i="1" l="1"/>
  <c r="L39" i="1"/>
  <c r="K39" i="1"/>
  <c r="J39" i="1"/>
  <c r="I39" i="1"/>
  <c r="I38" i="1"/>
  <c r="I43" i="1"/>
  <c r="B43" i="1"/>
  <c r="I1" i="1"/>
  <c r="R66" i="1"/>
  <c r="T83" i="1"/>
  <c r="F58" i="1"/>
  <c r="R83" i="1"/>
  <c r="F60" i="1"/>
  <c r="F57" i="1"/>
  <c r="Q83" i="1"/>
  <c r="F61" i="1"/>
  <c r="F62" i="1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4" i="2"/>
  <c r="C14" i="2"/>
  <c r="B15" i="2"/>
  <c r="C15" i="2"/>
  <c r="B16" i="2"/>
  <c r="C16" i="2"/>
  <c r="B17" i="2"/>
  <c r="C17" i="2"/>
  <c r="B18" i="2"/>
  <c r="C18" i="2"/>
  <c r="B19" i="2"/>
  <c r="C19" i="2"/>
  <c r="B20" i="2"/>
  <c r="C20" i="2"/>
  <c r="B21" i="2"/>
  <c r="C21" i="2"/>
  <c r="B22" i="2"/>
  <c r="C22" i="2"/>
  <c r="B23" i="2"/>
  <c r="C23" i="2"/>
  <c r="B24" i="2"/>
  <c r="C24" i="2"/>
  <c r="B25" i="2"/>
  <c r="C25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B33" i="2"/>
  <c r="C33" i="2"/>
  <c r="B34" i="2"/>
  <c r="C34" i="2"/>
  <c r="B35" i="2"/>
  <c r="C35" i="2"/>
  <c r="B36" i="2"/>
  <c r="C36" i="2"/>
  <c r="B37" i="2"/>
  <c r="C37" i="2"/>
  <c r="B38" i="2"/>
  <c r="C38" i="2"/>
  <c r="B39" i="2"/>
  <c r="C39" i="2"/>
  <c r="B40" i="2"/>
  <c r="C40" i="2"/>
  <c r="B41" i="2"/>
  <c r="C41" i="2"/>
  <c r="B42" i="2"/>
  <c r="C42" i="2"/>
  <c r="B43" i="2"/>
  <c r="C43" i="2"/>
  <c r="B44" i="2"/>
  <c r="C44" i="2"/>
  <c r="B45" i="2"/>
  <c r="C45" i="2"/>
  <c r="B46" i="2"/>
  <c r="C46" i="2"/>
  <c r="B47" i="2"/>
  <c r="C47" i="2"/>
  <c r="B48" i="2"/>
  <c r="C48" i="2"/>
  <c r="B49" i="2"/>
  <c r="C49" i="2"/>
  <c r="B50" i="2"/>
  <c r="C50" i="2"/>
  <c r="B51" i="2"/>
  <c r="C51" i="2"/>
  <c r="B52" i="2"/>
  <c r="C52" i="2"/>
  <c r="B53" i="2"/>
  <c r="C53" i="2"/>
  <c r="B54" i="2"/>
  <c r="C54" i="2"/>
  <c r="B55" i="2"/>
  <c r="C55" i="2"/>
  <c r="B56" i="2"/>
  <c r="C56" i="2"/>
  <c r="B57" i="2"/>
  <c r="C57" i="2"/>
  <c r="B58" i="2"/>
  <c r="C58" i="2"/>
  <c r="B59" i="2"/>
  <c r="C59" i="2"/>
  <c r="B60" i="2"/>
  <c r="C60" i="2"/>
  <c r="B61" i="2"/>
  <c r="C61" i="2"/>
  <c r="B62" i="2"/>
  <c r="C62" i="2"/>
  <c r="B63" i="2"/>
  <c r="C63" i="2"/>
  <c r="B64" i="2"/>
  <c r="C64" i="2"/>
  <c r="B65" i="2"/>
  <c r="C65" i="2"/>
  <c r="B66" i="2"/>
  <c r="C66" i="2"/>
  <c r="B67" i="2"/>
  <c r="C67" i="2"/>
  <c r="B68" i="2"/>
  <c r="C68" i="2"/>
  <c r="B69" i="2"/>
  <c r="C69" i="2"/>
  <c r="B70" i="2"/>
  <c r="C70" i="2"/>
  <c r="B71" i="2"/>
  <c r="C71" i="2"/>
  <c r="B72" i="2"/>
  <c r="C72" i="2"/>
  <c r="B73" i="2"/>
  <c r="C73" i="2"/>
  <c r="B74" i="2"/>
  <c r="C74" i="2"/>
  <c r="B75" i="2"/>
  <c r="C75" i="2"/>
  <c r="B76" i="2"/>
  <c r="C76" i="2"/>
  <c r="B77" i="2"/>
  <c r="C77" i="2"/>
  <c r="B78" i="2"/>
  <c r="C78" i="2"/>
  <c r="B79" i="2"/>
  <c r="C79" i="2"/>
  <c r="B80" i="2"/>
  <c r="C80" i="2"/>
  <c r="B81" i="2"/>
  <c r="C81" i="2"/>
  <c r="B82" i="2"/>
  <c r="C82" i="2"/>
  <c r="B83" i="2"/>
  <c r="C83" i="2"/>
  <c r="B84" i="2"/>
  <c r="C84" i="2"/>
  <c r="B85" i="2"/>
  <c r="C85" i="2"/>
  <c r="B86" i="2"/>
  <c r="C86" i="2"/>
  <c r="B87" i="2"/>
  <c r="C87" i="2"/>
  <c r="B88" i="2"/>
  <c r="C88" i="2"/>
  <c r="B89" i="2"/>
  <c r="C89" i="2"/>
  <c r="B90" i="2"/>
  <c r="C90" i="2"/>
  <c r="B91" i="2"/>
  <c r="C91" i="2"/>
  <c r="B92" i="2"/>
  <c r="C92" i="2"/>
  <c r="B93" i="2"/>
  <c r="C93" i="2"/>
  <c r="B94" i="2"/>
  <c r="C94" i="2"/>
  <c r="B95" i="2"/>
  <c r="C95" i="2"/>
  <c r="B96" i="2"/>
  <c r="C96" i="2"/>
  <c r="B97" i="2"/>
  <c r="C97" i="2"/>
  <c r="B98" i="2"/>
  <c r="C98" i="2"/>
  <c r="B99" i="2"/>
  <c r="C99" i="2"/>
  <c r="B100" i="2"/>
  <c r="C100" i="2"/>
  <c r="B101" i="2"/>
  <c r="C101" i="2"/>
  <c r="B2" i="2"/>
  <c r="C2" i="2"/>
  <c r="F48" i="1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3" i="2"/>
  <c r="R48" i="1"/>
  <c r="U3" i="1"/>
  <c r="Q47" i="1"/>
  <c r="Q48" i="1"/>
  <c r="S48" i="1"/>
  <c r="T48" i="1"/>
  <c r="K49" i="1"/>
  <c r="R47" i="1"/>
  <c r="S47" i="1"/>
  <c r="T47" i="1"/>
  <c r="K48" i="1"/>
  <c r="Q66" i="1"/>
  <c r="S66" i="1"/>
  <c r="E50" i="1"/>
  <c r="T77" i="1"/>
  <c r="Q77" i="1"/>
  <c r="F59" i="1"/>
  <c r="F56" i="1"/>
  <c r="F55" i="1"/>
  <c r="F54" i="1"/>
  <c r="Q78" i="1"/>
  <c r="Q79" i="1"/>
  <c r="Q80" i="1"/>
  <c r="Q81" i="1"/>
  <c r="Q82" i="1"/>
  <c r="R78" i="1"/>
  <c r="R79" i="1"/>
  <c r="R80" i="1"/>
  <c r="R81" i="1"/>
  <c r="R82" i="1"/>
  <c r="R77" i="1"/>
  <c r="T78" i="1"/>
  <c r="W78" i="1"/>
  <c r="T79" i="1"/>
  <c r="W79" i="1"/>
  <c r="T80" i="1"/>
  <c r="W80" i="1"/>
  <c r="T81" i="1"/>
  <c r="W81" i="1"/>
  <c r="T82" i="1"/>
  <c r="W82" i="1"/>
  <c r="W83" i="1"/>
  <c r="W77" i="1"/>
  <c r="V78" i="1"/>
  <c r="V79" i="1"/>
  <c r="V80" i="1"/>
  <c r="V81" i="1"/>
  <c r="V82" i="1"/>
  <c r="V83" i="1"/>
  <c r="V77" i="1"/>
  <c r="U78" i="1"/>
  <c r="U79" i="1"/>
  <c r="U80" i="1"/>
  <c r="U81" i="1"/>
  <c r="U82" i="1"/>
  <c r="U83" i="1"/>
  <c r="U77" i="1"/>
  <c r="U33" i="1"/>
  <c r="U32" i="1"/>
  <c r="U31" i="1"/>
  <c r="W3" i="1"/>
  <c r="P6" i="1"/>
  <c r="P7" i="1"/>
  <c r="P8" i="1"/>
  <c r="P9" i="1"/>
  <c r="P10" i="1"/>
  <c r="Q10" i="1"/>
  <c r="S10" i="1"/>
  <c r="Q27" i="1"/>
  <c r="R10" i="1"/>
  <c r="P27" i="1"/>
  <c r="S27" i="1"/>
  <c r="R27" i="1"/>
  <c r="U10" i="1"/>
  <c r="S26" i="1"/>
  <c r="T10" i="1"/>
  <c r="R26" i="1"/>
  <c r="W10" i="1"/>
  <c r="Q26" i="1"/>
  <c r="V10" i="1"/>
  <c r="P26" i="1"/>
  <c r="W23" i="1"/>
  <c r="V23" i="1"/>
  <c r="W24" i="1"/>
  <c r="V24" i="1"/>
  <c r="T24" i="1"/>
  <c r="T23" i="1"/>
  <c r="U24" i="1"/>
  <c r="S24" i="1"/>
  <c r="R24" i="1"/>
  <c r="R23" i="1"/>
  <c r="P24" i="1"/>
  <c r="P23" i="1"/>
  <c r="Q4" i="1"/>
  <c r="S4" i="1"/>
  <c r="W4" i="1"/>
  <c r="Q5" i="1"/>
  <c r="S5" i="1"/>
  <c r="W5" i="1"/>
  <c r="Q6" i="1"/>
  <c r="S6" i="1"/>
  <c r="W6" i="1"/>
  <c r="Q7" i="1"/>
  <c r="S7" i="1"/>
  <c r="W7" i="1"/>
  <c r="Q8" i="1"/>
  <c r="S8" i="1"/>
  <c r="W8" i="1"/>
  <c r="Q9" i="1"/>
  <c r="S9" i="1"/>
  <c r="W9" i="1"/>
  <c r="P11" i="1"/>
  <c r="Q11" i="1"/>
  <c r="S11" i="1"/>
  <c r="W11" i="1"/>
  <c r="P12" i="1"/>
  <c r="Q12" i="1"/>
  <c r="S12" i="1"/>
  <c r="W12" i="1"/>
  <c r="P13" i="1"/>
  <c r="Q13" i="1"/>
  <c r="S13" i="1"/>
  <c r="W13" i="1"/>
  <c r="P14" i="1"/>
  <c r="Q14" i="1"/>
  <c r="S14" i="1"/>
  <c r="W14" i="1"/>
  <c r="P15" i="1"/>
  <c r="Q15" i="1"/>
  <c r="S15" i="1"/>
  <c r="W15" i="1"/>
  <c r="P16" i="1"/>
  <c r="Q16" i="1"/>
  <c r="S16" i="1"/>
  <c r="W16" i="1"/>
  <c r="P17" i="1"/>
  <c r="Q17" i="1"/>
  <c r="S17" i="1"/>
  <c r="W17" i="1"/>
  <c r="P18" i="1"/>
  <c r="Q18" i="1"/>
  <c r="S18" i="1"/>
  <c r="W18" i="1"/>
  <c r="P19" i="1"/>
  <c r="Q19" i="1"/>
  <c r="S19" i="1"/>
  <c r="W19" i="1"/>
  <c r="P20" i="1"/>
  <c r="Q20" i="1"/>
  <c r="S20" i="1"/>
  <c r="W20" i="1"/>
  <c r="R5" i="1"/>
  <c r="V5" i="1"/>
  <c r="R6" i="1"/>
  <c r="V6" i="1"/>
  <c r="R7" i="1"/>
  <c r="V7" i="1"/>
  <c r="R8" i="1"/>
  <c r="V8" i="1"/>
  <c r="R9" i="1"/>
  <c r="V9" i="1"/>
  <c r="R11" i="1"/>
  <c r="V11" i="1"/>
  <c r="R12" i="1"/>
  <c r="V12" i="1"/>
  <c r="R13" i="1"/>
  <c r="V13" i="1"/>
  <c r="R14" i="1"/>
  <c r="V14" i="1"/>
  <c r="R15" i="1"/>
  <c r="V15" i="1"/>
  <c r="R16" i="1"/>
  <c r="V16" i="1"/>
  <c r="R17" i="1"/>
  <c r="V17" i="1"/>
  <c r="R18" i="1"/>
  <c r="V18" i="1"/>
  <c r="R19" i="1"/>
  <c r="V19" i="1"/>
  <c r="R20" i="1"/>
  <c r="V20" i="1"/>
  <c r="R4" i="1"/>
  <c r="V4" i="1"/>
  <c r="T4" i="1"/>
  <c r="U5" i="1"/>
  <c r="U6" i="1"/>
  <c r="U7" i="1"/>
  <c r="U8" i="1"/>
  <c r="U9" i="1"/>
  <c r="U11" i="1"/>
  <c r="U12" i="1"/>
  <c r="U13" i="1"/>
  <c r="U14" i="1"/>
  <c r="U15" i="1"/>
  <c r="U16" i="1"/>
  <c r="U17" i="1"/>
  <c r="U18" i="1"/>
  <c r="U19" i="1"/>
  <c r="U20" i="1"/>
  <c r="U4" i="1"/>
  <c r="T5" i="1"/>
  <c r="T6" i="1"/>
  <c r="T7" i="1"/>
  <c r="T8" i="1"/>
  <c r="T9" i="1"/>
  <c r="T11" i="1"/>
  <c r="T12" i="1"/>
  <c r="T13" i="1"/>
  <c r="T14" i="1"/>
  <c r="T15" i="1"/>
  <c r="T16" i="1"/>
  <c r="T17" i="1"/>
  <c r="T18" i="1"/>
  <c r="T19" i="1"/>
  <c r="T20" i="1"/>
  <c r="N44" i="1"/>
  <c r="G44" i="1"/>
  <c r="F14" i="1"/>
  <c r="E14" i="1"/>
  <c r="N2" i="1"/>
  <c r="G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Salvador Vargas Ortega</author>
  </authors>
  <commentList>
    <comment ref="C5" authorId="0" shapeId="0" xr:uid="{BF291340-1739-4638-AE6F-116AACD67D1C}">
      <text>
        <r>
          <rPr>
            <sz val="9"/>
            <color indexed="81"/>
            <rFont val="Tahoma"/>
            <family val="2"/>
          </rPr>
          <t>A - Typically non-flammable water-based fluids
B -  Flammable and/or toxic fluids that are liquids
      at ambient temperature and at atmospheric
      pressure conditions
C -  Non-flammable fluids that are non-toxic
      gases at ambient temperature and
      atmospheric pressure conditions
D -  Non-toxic, single-phase natural gas
E -  Flammable and/or toxic fluids that are gases
      at ambient temperature and atmospheric
      pressure conditions and are conveyed as
      gases and/or liquids
      Mixtures of petroleum or chemical
      substances, having a Reid vapour pressure
      greater than 31 kPa absolute</t>
        </r>
      </text>
    </comment>
    <comment ref="F5" authorId="0" shapeId="0" xr:uid="{119DF31D-4810-40E0-8E85-5A5287E61BC8}">
      <text>
        <r>
          <rPr>
            <sz val="9"/>
            <color indexed="81"/>
            <rFont val="Tahoma"/>
            <family val="2"/>
          </rPr>
          <t>A pipeline is deemed to be totally restrained when axial movement and bending resulting from temperature or pressure change is totally prevented.</t>
        </r>
      </text>
    </comment>
    <comment ref="I8" authorId="0" shapeId="0" xr:uid="{53014D3C-7886-4AF3-B803-415FAE205BE9}">
      <text>
        <r>
          <rPr>
            <sz val="9"/>
            <color indexed="81"/>
            <rFont val="Tahoma"/>
            <family val="2"/>
          </rPr>
          <t xml:space="preserve">Pipe over coating
</t>
        </r>
      </text>
    </comment>
    <comment ref="K8" authorId="0" shapeId="0" xr:uid="{9536606C-5832-4E12-B9A4-6B5ABFBE2903}">
      <text>
        <r>
          <rPr>
            <sz val="9"/>
            <color indexed="81"/>
            <rFont val="Tahoma"/>
            <family val="2"/>
          </rPr>
          <t xml:space="preserve">Maximum Pipe Ovality (out-of-Roundness)
</t>
        </r>
      </text>
    </comment>
    <comment ref="L8" authorId="0" shapeId="0" xr:uid="{A40367A7-3EEA-4EB4-A35D-F3B1200CE0D2}">
      <text>
        <r>
          <rPr>
            <sz val="9"/>
            <color indexed="81"/>
            <rFont val="Tahoma"/>
            <family val="2"/>
          </rPr>
          <t xml:space="preserve">Manufacturing Tolerance [-ve] 
(include percentage sign)
</t>
        </r>
      </text>
    </comment>
    <comment ref="C9" authorId="0" shapeId="0" xr:uid="{96BFCD64-5F89-4187-BC13-2BC021074811}">
      <text>
        <r>
          <rPr>
            <sz val="9"/>
            <color indexed="81"/>
            <rFont val="Tahoma"/>
            <family val="2"/>
          </rPr>
          <t>Outside diameter of a pipe</t>
        </r>
      </text>
    </comment>
    <comment ref="D9" authorId="0" shapeId="0" xr:uid="{08BD0884-CFC1-45FC-A053-46C3ED1942E3}">
      <text>
        <r>
          <rPr>
            <sz val="9"/>
            <color indexed="81"/>
            <rFont val="Tahoma"/>
            <family val="2"/>
          </rPr>
          <t>Nominal wall thickness (un-corroded)</t>
        </r>
      </text>
    </comment>
    <comment ref="E9" authorId="0" shapeId="0" xr:uid="{D8CFEF89-8A8F-4097-A53D-2FFC8D93A715}">
      <text>
        <r>
          <rPr>
            <sz val="9"/>
            <color indexed="81"/>
            <rFont val="Tahoma"/>
            <family val="2"/>
          </rPr>
          <t xml:space="preserve">Corrosion allowance
</t>
        </r>
      </text>
    </comment>
    <comment ref="F9" authorId="0" shapeId="0" xr:uid="{116374E4-03CC-4764-A10B-AAF46E684E64}">
      <text>
        <r>
          <rPr>
            <sz val="9"/>
            <color indexed="81"/>
            <rFont val="Tahoma"/>
            <family val="2"/>
          </rPr>
          <t xml:space="preserve">Pipe section length
</t>
        </r>
      </text>
    </comment>
    <comment ref="D13" authorId="0" shapeId="0" xr:uid="{970C4FE4-319F-477A-AC9D-D21FFC2CDF52}">
      <text>
        <r>
          <rPr>
            <sz val="9"/>
            <color indexed="81"/>
            <rFont val="Tahoma"/>
            <family val="2"/>
          </rPr>
          <t xml:space="preserve">Specified minimum yield strength [SMYS]
</t>
        </r>
      </text>
    </comment>
    <comment ref="I15" authorId="0" shapeId="0" xr:uid="{9DC8FA74-198D-43B4-8DCC-421908BECAE4}">
      <text>
        <r>
          <rPr>
            <sz val="9"/>
            <color indexed="81"/>
            <rFont val="Tahoma"/>
            <family val="2"/>
          </rPr>
          <t>Specified minimum tensile strength [SMTS]</t>
        </r>
      </text>
    </comment>
    <comment ref="J15" authorId="0" shapeId="0" xr:uid="{9A702150-2378-4486-8D5E-9B4D5EE2F4A6}">
      <text>
        <r>
          <rPr>
            <sz val="9"/>
            <color indexed="81"/>
            <rFont val="Tahoma"/>
            <family val="2"/>
          </rPr>
          <t xml:space="preserve">Young's modulus of Elasticity
</t>
        </r>
      </text>
    </comment>
    <comment ref="L15" authorId="0" shapeId="0" xr:uid="{CD8031A1-F1BB-4C1A-97EE-C3503D868CD9}">
      <text>
        <r>
          <rPr>
            <sz val="9"/>
            <color indexed="81"/>
            <rFont val="Tahoma"/>
            <family val="2"/>
          </rPr>
          <t>Poisson's ratio</t>
        </r>
      </text>
    </comment>
    <comment ref="C17" authorId="0" shapeId="0" xr:uid="{EB6381F9-9B8C-40D6-934B-472C8A121895}">
      <text>
        <r>
          <rPr>
            <sz val="9"/>
            <color indexed="81"/>
            <rFont val="Tahoma"/>
            <family val="2"/>
          </rPr>
          <t>Internal pressure</t>
        </r>
      </text>
    </comment>
    <comment ref="D17" authorId="0" shapeId="0" xr:uid="{4C8C43D4-13B0-4241-A08D-DB548644AB74}">
      <text>
        <r>
          <rPr>
            <sz val="9"/>
            <color indexed="81"/>
            <rFont val="Tahoma"/>
            <family val="2"/>
          </rPr>
          <t>External pressure</t>
        </r>
      </text>
    </comment>
    <comment ref="F17" authorId="0" shapeId="0" xr:uid="{8239B01C-B7E0-4D07-852D-6805D51B947C}">
      <text>
        <r>
          <rPr>
            <sz val="9"/>
            <color indexed="81"/>
            <rFont val="Tahoma"/>
            <family val="2"/>
          </rPr>
          <t>Temperature</t>
        </r>
      </text>
    </comment>
    <comment ref="J23" authorId="0" shapeId="0" xr:uid="{FEC710BE-4055-4D46-8630-BDC8D6E9DD2A}">
      <text>
        <r>
          <rPr>
            <sz val="9"/>
            <color indexed="81"/>
            <rFont val="Tahoma"/>
            <family val="2"/>
          </rPr>
          <t>Maximum or minimum metal temperature</t>
        </r>
      </text>
    </comment>
    <comment ref="K23" authorId="0" shapeId="0" xr:uid="{56B82BB6-D782-4A9C-9652-F611F2B137E1}">
      <text>
        <r>
          <rPr>
            <sz val="9"/>
            <color indexed="81"/>
            <rFont val="Tahoma"/>
            <family val="2"/>
          </rPr>
          <t>Seawater temperature</t>
        </r>
      </text>
    </comment>
    <comment ref="I27" authorId="0" shapeId="0" xr:uid="{42543FEF-043B-478C-9300-F02E9CE45D47}">
      <text>
        <r>
          <rPr>
            <sz val="9"/>
            <color indexed="81"/>
            <rFont val="Tahoma"/>
            <family val="2"/>
          </rPr>
          <t>Wave height</t>
        </r>
      </text>
    </comment>
    <comment ref="J27" authorId="0" shapeId="0" xr:uid="{D1907100-A47F-49AA-9CB3-73260DAC74FB}">
      <text>
        <r>
          <rPr>
            <sz val="9"/>
            <color indexed="81"/>
            <rFont val="Tahoma"/>
            <family val="2"/>
          </rPr>
          <t>Wave period</t>
        </r>
      </text>
    </comment>
    <comment ref="K27" authorId="0" shapeId="0" xr:uid="{D2A9F412-F5CD-4D96-8206-DCB838B9BA4C}">
      <text>
        <r>
          <rPr>
            <sz val="9"/>
            <color indexed="81"/>
            <rFont val="Tahoma"/>
            <family val="2"/>
          </rPr>
          <t>Water depth</t>
        </r>
      </text>
    </comment>
    <comment ref="L27" authorId="0" shapeId="0" xr:uid="{7966031B-C58C-4CFD-98CF-2C6D9CFB907C}">
      <text>
        <r>
          <rPr>
            <sz val="9"/>
            <color indexed="81"/>
            <rFont val="Tahoma"/>
            <family val="2"/>
          </rPr>
          <t>Depth of the member relative to still water level Measure positive upwards (m)</t>
        </r>
      </text>
    </comment>
    <comment ref="M27" authorId="0" shapeId="0" xr:uid="{1EE8909B-239B-4FDF-8276-8999561FF1F1}">
      <text>
        <r>
          <rPr>
            <sz val="9"/>
            <color indexed="81"/>
            <rFont val="Tahoma"/>
            <family val="2"/>
          </rPr>
          <t>Density of Sea Water</t>
        </r>
      </text>
    </comment>
  </commentList>
</comments>
</file>

<file path=xl/sharedStrings.xml><?xml version="1.0" encoding="utf-8"?>
<sst xmlns="http://schemas.openxmlformats.org/spreadsheetml/2006/main" count="226" uniqueCount="174">
  <si>
    <t>Logo</t>
  </si>
  <si>
    <t>Date</t>
  </si>
  <si>
    <t>MATERIAL PROPERTIES</t>
  </si>
  <si>
    <t xml:space="preserve">n </t>
  </si>
  <si>
    <t>Angle</t>
  </si>
  <si>
    <t>Radians</t>
  </si>
  <si>
    <t>sin</t>
  </si>
  <si>
    <t>cos</t>
  </si>
  <si>
    <t>r1 =</t>
  </si>
  <si>
    <t>r2 =</t>
  </si>
  <si>
    <t>X</t>
  </si>
  <si>
    <t>y</t>
  </si>
  <si>
    <t>Pi [bar]</t>
  </si>
  <si>
    <t>Design Condition</t>
  </si>
  <si>
    <t xml:space="preserve">Design </t>
  </si>
  <si>
    <t>Condition</t>
  </si>
  <si>
    <t>Hydrotest</t>
  </si>
  <si>
    <t>Operating</t>
  </si>
  <si>
    <t>Ultimate</t>
  </si>
  <si>
    <t>Method</t>
  </si>
  <si>
    <t>stress</t>
  </si>
  <si>
    <t>strain</t>
  </si>
  <si>
    <t>upheaval</t>
  </si>
  <si>
    <t>Pipe</t>
  </si>
  <si>
    <t>Type</t>
  </si>
  <si>
    <t>Location</t>
  </si>
  <si>
    <t>Riser</t>
  </si>
  <si>
    <t>Landfall</t>
  </si>
  <si>
    <t>Seabed</t>
  </si>
  <si>
    <t>Restrain</t>
  </si>
  <si>
    <t>Yes</t>
  </si>
  <si>
    <t>No</t>
  </si>
  <si>
    <t>Onshore</t>
  </si>
  <si>
    <t>Offshore</t>
  </si>
  <si>
    <t>Above ground</t>
  </si>
  <si>
    <t xml:space="preserve">Buried </t>
  </si>
  <si>
    <t>Restrained</t>
  </si>
  <si>
    <t>Pipe Type</t>
  </si>
  <si>
    <t>History</t>
  </si>
  <si>
    <t>Known</t>
  </si>
  <si>
    <t>Unknown</t>
  </si>
  <si>
    <t>Substance</t>
  </si>
  <si>
    <t>A</t>
  </si>
  <si>
    <t>B</t>
  </si>
  <si>
    <t>C</t>
  </si>
  <si>
    <t>D</t>
  </si>
  <si>
    <t>E</t>
  </si>
  <si>
    <t>Clamp Geometry</t>
  </si>
  <si>
    <t>Bolt</t>
  </si>
  <si>
    <t>Pad</t>
  </si>
  <si>
    <t>Top</t>
  </si>
  <si>
    <t>Bottom</t>
  </si>
  <si>
    <t>q</t>
  </si>
  <si>
    <t>M30</t>
  </si>
  <si>
    <t>M12</t>
  </si>
  <si>
    <t>M16</t>
  </si>
  <si>
    <t>M20</t>
  </si>
  <si>
    <t>M22</t>
  </si>
  <si>
    <t>M24</t>
  </si>
  <si>
    <t>M27</t>
  </si>
  <si>
    <t>H</t>
  </si>
  <si>
    <t>Diametre [Dmaj]</t>
  </si>
  <si>
    <t>Stress Area</t>
  </si>
  <si>
    <t>Flank angle of thread</t>
  </si>
  <si>
    <t>Thread pitch [P]</t>
  </si>
  <si>
    <t>Coarse</t>
  </si>
  <si>
    <t>Fine</t>
  </si>
  <si>
    <t>key width (spanner)</t>
  </si>
  <si>
    <t>Clearance hole</t>
  </si>
  <si>
    <t>Dp</t>
  </si>
  <si>
    <t>Dmin</t>
  </si>
  <si>
    <t>Thread type</t>
  </si>
  <si>
    <t>m</t>
  </si>
  <si>
    <t>Effective pitch radious</t>
  </si>
  <si>
    <t>Rbolt</t>
  </si>
  <si>
    <t>Thread Pitch [mm]:</t>
  </si>
  <si>
    <t>Spanner [mm]:</t>
  </si>
  <si>
    <t>Clearance Hole [mm]:</t>
  </si>
  <si>
    <t>Diametre [mm]:</t>
  </si>
  <si>
    <t>R_bolt [mm]:</t>
  </si>
  <si>
    <t>Details</t>
  </si>
  <si>
    <t>Flank Thread [deg]:</t>
  </si>
  <si>
    <t>Clamp</t>
  </si>
  <si>
    <t>Stress Area [mm^2]:</t>
  </si>
  <si>
    <t>Width [mm]</t>
  </si>
  <si>
    <t>top</t>
  </si>
  <si>
    <t>bottom</t>
  </si>
  <si>
    <t>R</t>
  </si>
  <si>
    <t>pad/2</t>
  </si>
  <si>
    <t>rad</t>
  </si>
  <si>
    <t>deg</t>
  </si>
  <si>
    <t>Torque [Nm]</t>
  </si>
  <si>
    <t>Fbolt</t>
  </si>
  <si>
    <t>Fseal</t>
  </si>
  <si>
    <t>Ring Cases</t>
  </si>
  <si>
    <t>Load Case</t>
  </si>
  <si>
    <t>Pipe Squeeze Stress</t>
  </si>
  <si>
    <t>Effec. Pitch Rad [mm]:</t>
  </si>
  <si>
    <t>Load factor</t>
  </si>
  <si>
    <t xml:space="preserve">Bolt Torque Vs Force </t>
  </si>
  <si>
    <t>L1 [mm]</t>
  </si>
  <si>
    <t>L2 [mm]</t>
  </si>
  <si>
    <t>L3 [mm]</t>
  </si>
  <si>
    <t>Do [mm]</t>
  </si>
  <si>
    <t>tnom [mm]</t>
  </si>
  <si>
    <t>tcorr [mm]</t>
  </si>
  <si>
    <t>fo [mm]</t>
  </si>
  <si>
    <t>tol</t>
  </si>
  <si>
    <t>Lc [m]</t>
  </si>
  <si>
    <t>Coating [mm]</t>
  </si>
  <si>
    <t>E [MPa]</t>
  </si>
  <si>
    <r>
      <t>r</t>
    </r>
    <r>
      <rPr>
        <sz val="8"/>
        <color rgb="FF0000FF"/>
        <rFont val="Consolas"/>
        <family val="3"/>
      </rPr>
      <t xml:space="preserve">  [Kg/m^3]</t>
    </r>
  </si>
  <si>
    <r>
      <t xml:space="preserve">g </t>
    </r>
    <r>
      <rPr>
        <sz val="8"/>
        <color rgb="FF0000FF"/>
        <rFont val="Consolas"/>
        <family val="3"/>
      </rPr>
      <t>(Kg/m^3)</t>
    </r>
  </si>
  <si>
    <t>G [Mpa]</t>
  </si>
  <si>
    <t>Material Derate</t>
  </si>
  <si>
    <t>DNV mat</t>
  </si>
  <si>
    <t>DSS</t>
  </si>
  <si>
    <t>CMN</t>
  </si>
  <si>
    <t>25CR</t>
  </si>
  <si>
    <t>22CR</t>
  </si>
  <si>
    <t>Sub factors</t>
  </si>
  <si>
    <t>Ammonia</t>
  </si>
  <si>
    <t>Carbon</t>
  </si>
  <si>
    <t>Ethylene</t>
  </si>
  <si>
    <t>Hydrogen</t>
  </si>
  <si>
    <t>Petroluem</t>
  </si>
  <si>
    <t>Natural gas</t>
  </si>
  <si>
    <t>User</t>
  </si>
  <si>
    <t>Temperature</t>
  </si>
  <si>
    <t>Tsw</t>
  </si>
  <si>
    <t>Tinlet</t>
  </si>
  <si>
    <r>
      <t>d</t>
    </r>
    <r>
      <rPr>
        <sz val="10"/>
        <color rgb="FF0000FF"/>
        <rFont val="Consolas"/>
        <family val="3"/>
      </rPr>
      <t>t</t>
    </r>
  </si>
  <si>
    <t>Pressure</t>
  </si>
  <si>
    <t>Po [bar]</t>
  </si>
  <si>
    <t>T2 [c]</t>
  </si>
  <si>
    <t>Hydrostatic Pressure</t>
  </si>
  <si>
    <t>Hw [m]</t>
  </si>
  <si>
    <t>d [m]</t>
  </si>
  <si>
    <t>Code</t>
  </si>
  <si>
    <t>Tmax</t>
  </si>
  <si>
    <t>Tw [sec]</t>
  </si>
  <si>
    <t>Funtional Load</t>
  </si>
  <si>
    <t>F [kN]</t>
  </si>
  <si>
    <t>Fs [kN]</t>
  </si>
  <si>
    <t>Mb [kN-m]</t>
  </si>
  <si>
    <t>T [kN-m]</t>
  </si>
  <si>
    <t>Material Property Input</t>
  </si>
  <si>
    <t>Geometry Data</t>
  </si>
  <si>
    <t>M</t>
  </si>
  <si>
    <t>N</t>
  </si>
  <si>
    <t>V</t>
  </si>
  <si>
    <t>Thickness</t>
  </si>
  <si>
    <t>Results</t>
  </si>
  <si>
    <t>Hoop Stress</t>
  </si>
  <si>
    <t>Von Mises</t>
  </si>
  <si>
    <t>Stress</t>
  </si>
  <si>
    <t>Safety Factor</t>
  </si>
  <si>
    <t>Allowable</t>
  </si>
  <si>
    <t>Combination</t>
  </si>
  <si>
    <t>Functional</t>
  </si>
  <si>
    <t>SMYS [MPa]</t>
  </si>
  <si>
    <t>GENERAL INPUT DATA</t>
  </si>
  <si>
    <t>GEOMETRY DATA</t>
  </si>
  <si>
    <t>DESIGN LOADS</t>
  </si>
  <si>
    <t>z [m]</t>
  </si>
  <si>
    <t>ANALYSIS OPTIONS</t>
  </si>
  <si>
    <t>Options</t>
  </si>
  <si>
    <t>Temp [c]</t>
  </si>
  <si>
    <t>SMTS [Mpa]</t>
  </si>
  <si>
    <t>UR</t>
  </si>
  <si>
    <t>Grade</t>
  </si>
  <si>
    <t>Enviromental Load</t>
  </si>
  <si>
    <t>Pipeline Code Check Tool - PD8010</t>
  </si>
  <si>
    <t>SMTS [MPa]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</si>
</sst>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7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9"/>
      <color theme="1"/>
      <name val="Consolas"/>
      <family val="3"/>
    </font>
    <font>
      <sz val="8"/>
      <name val="Eurostile"/>
      <family val="2"/>
    </font>
    <font>
      <sz val="8"/>
      <name val="Times New Roman"/>
      <family val="1"/>
    </font>
    <font>
      <sz val="10"/>
      <color indexed="12"/>
      <name val="Symbol"/>
      <family val="1"/>
      <charset val="2"/>
    </font>
    <font>
      <sz val="8"/>
      <color indexed="12"/>
      <name val="Symbol"/>
      <family val="1"/>
      <charset val="2"/>
    </font>
    <font>
      <sz val="8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8"/>
      <name val="Consolas"/>
      <family val="3"/>
    </font>
    <font>
      <i/>
      <sz val="12"/>
      <color theme="1"/>
      <name val="Symbol"/>
      <family val="1"/>
      <charset val="2"/>
    </font>
    <font>
      <sz val="8"/>
      <color theme="1"/>
      <name val="Consolas"/>
      <family val="3"/>
    </font>
    <font>
      <i/>
      <sz val="11"/>
      <color theme="1"/>
      <name val="Symbol"/>
      <family val="1"/>
      <charset val="2"/>
    </font>
    <font>
      <sz val="10"/>
      <color theme="1"/>
      <name val="Consolas"/>
      <family val="3"/>
    </font>
    <font>
      <sz val="8"/>
      <name val="Calibri"/>
      <family val="2"/>
      <scheme val="minor"/>
    </font>
    <font>
      <sz val="12"/>
      <color theme="1"/>
      <name val="Consolas"/>
      <family val="3"/>
    </font>
    <font>
      <i/>
      <sz val="10"/>
      <color theme="1"/>
      <name val="Symbol"/>
      <family val="1"/>
      <charset val="2"/>
    </font>
    <font>
      <sz val="9"/>
      <name val="Consolas"/>
      <family val="3"/>
    </font>
    <font>
      <b/>
      <sz val="12"/>
      <color rgb="FFC00000"/>
      <name val="Consolas"/>
      <family val="3"/>
    </font>
    <font>
      <sz val="8"/>
      <color indexed="12"/>
      <name val="Consolas"/>
      <family val="3"/>
    </font>
    <font>
      <sz val="9"/>
      <color indexed="17"/>
      <name val="Consolas"/>
      <family val="3"/>
    </font>
    <font>
      <sz val="8"/>
      <color rgb="FF0000FF"/>
      <name val="Consolas"/>
      <family val="3"/>
    </font>
    <font>
      <sz val="9"/>
      <color indexed="81"/>
      <name val="Tahoma"/>
      <family val="2"/>
    </font>
    <font>
      <sz val="10"/>
      <color rgb="FF0000FF"/>
      <name val="Consolas"/>
      <family val="3"/>
    </font>
    <font>
      <b/>
      <sz val="14"/>
      <color theme="3" tint="-0.249977111117893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61">
    <border>
      <left/>
      <right/>
      <top/>
      <bottom/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/>
      <diagonal/>
    </border>
    <border>
      <left/>
      <right/>
      <top style="medium">
        <color theme="0" tint="-0.34998626667073579"/>
      </top>
      <bottom/>
      <diagonal/>
    </border>
    <border>
      <left/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/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medium">
        <color theme="0" tint="-0.34998626667073579"/>
      </left>
      <right style="medium">
        <color theme="0" tint="-0.34998626667073579"/>
      </right>
      <top/>
      <bottom style="medium">
        <color theme="0" tint="-0.34998626667073579"/>
      </bottom>
      <diagonal/>
    </border>
    <border>
      <left style="medium">
        <color theme="0" tint="-0.34998626667073579"/>
      </left>
      <right/>
      <top/>
      <bottom/>
      <diagonal/>
    </border>
    <border>
      <left/>
      <right style="medium">
        <color theme="0" tint="-0.34998626667073579"/>
      </right>
      <top/>
      <bottom/>
      <diagonal/>
    </border>
    <border>
      <left/>
      <right/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/>
      <bottom style="medium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dashed">
        <color theme="0" tint="-0.499984740745262"/>
      </top>
      <bottom style="thin">
        <color theme="0" tint="-0.499984740745262"/>
      </bottom>
      <diagonal/>
    </border>
    <border>
      <left/>
      <right style="thin">
        <color indexed="55"/>
      </right>
      <top style="thin">
        <color indexed="55"/>
      </top>
      <bottom/>
      <diagonal/>
    </border>
    <border>
      <left/>
      <right style="thin">
        <color indexed="55"/>
      </right>
      <top/>
      <bottom style="thin">
        <color indexed="55"/>
      </bottom>
      <diagonal/>
    </border>
    <border>
      <left/>
      <right/>
      <top style="thin">
        <color indexed="55"/>
      </top>
      <bottom/>
      <diagonal/>
    </border>
    <border>
      <left style="thin">
        <color indexed="55"/>
      </left>
      <right/>
      <top style="thin">
        <color indexed="55"/>
      </top>
      <bottom/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 style="medium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dashed">
        <color theme="0" tint="-0.34998626667073579"/>
      </bottom>
      <diagonal/>
    </border>
    <border>
      <left/>
      <right style="thin">
        <color indexed="55"/>
      </right>
      <top style="thin">
        <color theme="0" tint="-0.34998626667073579"/>
      </top>
      <bottom style="dashed">
        <color theme="0" tint="-0.34998626667073579"/>
      </bottom>
      <diagonal/>
    </border>
    <border>
      <left style="thin">
        <color indexed="55"/>
      </left>
      <right style="thin">
        <color indexed="55"/>
      </right>
      <top style="thin">
        <color theme="0" tint="-0.34998626667073579"/>
      </top>
      <bottom style="dashed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dashed">
        <color theme="0" tint="-0.34998626667073579"/>
      </bottom>
      <diagonal/>
    </border>
    <border>
      <left style="medium">
        <color theme="0" tint="-0.34998626667073579"/>
      </left>
      <right style="thin">
        <color theme="0" tint="-0.34998626667073579"/>
      </right>
      <top style="dashed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55"/>
      </right>
      <top style="dashed">
        <color theme="0" tint="-0.34998626667073579"/>
      </top>
      <bottom style="thin">
        <color theme="0" tint="-0.34998626667073579"/>
      </bottom>
      <diagonal/>
    </border>
    <border>
      <left style="thin">
        <color indexed="55"/>
      </left>
      <right style="thin">
        <color indexed="55"/>
      </right>
      <top style="dashed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dashed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medium">
        <color theme="0" tint="-0.34998626667073579"/>
      </right>
      <top/>
      <bottom/>
      <diagonal/>
    </border>
    <border>
      <left style="thin">
        <color theme="0" tint="-0.499984740745262"/>
      </left>
      <right style="medium">
        <color theme="0" tint="-0.34998626667073579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medium">
        <color theme="0" tint="-0.34998626667073579"/>
      </right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34998626667073579"/>
      </left>
      <right style="thin">
        <color theme="0" tint="-0.499984740745262"/>
      </right>
      <top/>
      <bottom style="thin">
        <color theme="0" tint="-0.499984740745262"/>
      </bottom>
      <diagonal/>
    </border>
  </borders>
  <cellStyleXfs count="1">
    <xf numFmtId="0" fontId="0" fillId="0" borderId="0"/>
  </cellStyleXfs>
  <cellXfs count="138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2" fillId="0" borderId="8" xfId="0" applyFont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/>
    </xf>
    <xf numFmtId="0" fontId="4" fillId="2" borderId="10" xfId="0" applyFont="1" applyFill="1" applyBorder="1" applyAlignment="1" applyProtection="1">
      <alignment horizontal="center"/>
      <protection locked="0"/>
    </xf>
    <xf numFmtId="0" fontId="0" fillId="0" borderId="11" xfId="0" applyBorder="1"/>
    <xf numFmtId="0" fontId="0" fillId="0" borderId="12" xfId="0" applyBorder="1"/>
    <xf numFmtId="0" fontId="6" fillId="0" borderId="9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5" fillId="2" borderId="10" xfId="0" applyFont="1" applyFill="1" applyBorder="1" applyAlignment="1" applyProtection="1">
      <alignment horizontal="center"/>
      <protection locked="0"/>
    </xf>
    <xf numFmtId="11" fontId="5" fillId="2" borderId="10" xfId="0" applyNumberFormat="1" applyFont="1" applyFill="1" applyBorder="1" applyAlignment="1" applyProtection="1">
      <alignment horizontal="center"/>
      <protection locked="0"/>
    </xf>
    <xf numFmtId="11" fontId="4" fillId="2" borderId="10" xfId="0" applyNumberFormat="1" applyFont="1" applyFill="1" applyBorder="1" applyAlignment="1" applyProtection="1">
      <alignment horizontal="center"/>
      <protection locked="0"/>
    </xf>
    <xf numFmtId="0" fontId="0" fillId="0" borderId="2" xfId="0" applyBorder="1"/>
    <xf numFmtId="0" fontId="0" fillId="0" borderId="13" xfId="0" applyBorder="1"/>
    <xf numFmtId="0" fontId="0" fillId="0" borderId="14" xfId="0" applyBorder="1"/>
    <xf numFmtId="0" fontId="0" fillId="0" borderId="0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2" fontId="8" fillId="0" borderId="18" xfId="0" applyNumberFormat="1" applyFont="1" applyBorder="1" applyAlignment="1">
      <alignment horizontal="center"/>
    </xf>
    <xf numFmtId="2" fontId="8" fillId="0" borderId="19" xfId="0" applyNumberFormat="1" applyFont="1" applyBorder="1" applyAlignment="1">
      <alignment horizontal="center"/>
    </xf>
    <xf numFmtId="2" fontId="8" fillId="0" borderId="20" xfId="0" applyNumberFormat="1" applyFont="1" applyBorder="1" applyAlignment="1">
      <alignment horizontal="center"/>
    </xf>
    <xf numFmtId="2" fontId="8" fillId="0" borderId="21" xfId="0" applyNumberFormat="1" applyFont="1" applyBorder="1" applyAlignment="1">
      <alignment horizontal="center"/>
    </xf>
    <xf numFmtId="2" fontId="8" fillId="0" borderId="22" xfId="0" applyNumberFormat="1" applyFont="1" applyBorder="1" applyAlignment="1">
      <alignment horizontal="center"/>
    </xf>
    <xf numFmtId="2" fontId="8" fillId="0" borderId="23" xfId="0" applyNumberFormat="1" applyFont="1" applyBorder="1" applyAlignment="1">
      <alignment horizontal="center"/>
    </xf>
    <xf numFmtId="2" fontId="8" fillId="0" borderId="24" xfId="0" applyNumberFormat="1" applyFont="1" applyBorder="1" applyAlignment="1">
      <alignment horizontal="center"/>
    </xf>
    <xf numFmtId="2" fontId="8" fillId="0" borderId="25" xfId="0" applyNumberFormat="1" applyFont="1" applyBorder="1" applyAlignment="1">
      <alignment horizontal="center"/>
    </xf>
    <xf numFmtId="2" fontId="8" fillId="0" borderId="26" xfId="0" applyNumberFormat="1" applyFont="1" applyBorder="1" applyAlignment="1">
      <alignment horizontal="center"/>
    </xf>
    <xf numFmtId="2" fontId="8" fillId="0" borderId="27" xfId="0" applyNumberFormat="1" applyFont="1" applyBorder="1" applyAlignment="1">
      <alignment horizontal="center"/>
    </xf>
    <xf numFmtId="2" fontId="0" fillId="0" borderId="0" xfId="0" applyNumberFormat="1"/>
    <xf numFmtId="0" fontId="9" fillId="0" borderId="0" xfId="0" applyFont="1" applyAlignment="1">
      <alignment horizontal="center" vertical="center"/>
    </xf>
    <xf numFmtId="2" fontId="9" fillId="0" borderId="28" xfId="0" applyNumberFormat="1" applyFont="1" applyBorder="1" applyAlignment="1">
      <alignment horizontal="center" vertical="center"/>
    </xf>
    <xf numFmtId="2" fontId="9" fillId="0" borderId="29" xfId="0" applyNumberFormat="1" applyFont="1" applyBorder="1" applyAlignment="1">
      <alignment horizontal="center" vertical="center"/>
    </xf>
    <xf numFmtId="2" fontId="9" fillId="0" borderId="30" xfId="0" applyNumberFormat="1" applyFont="1" applyBorder="1" applyAlignment="1">
      <alignment horizontal="center" vertical="center"/>
    </xf>
    <xf numFmtId="0" fontId="0" fillId="0" borderId="30" xfId="0" applyBorder="1"/>
    <xf numFmtId="2" fontId="9" fillId="0" borderId="31" xfId="0" applyNumberFormat="1" applyFont="1" applyBorder="1" applyAlignment="1">
      <alignment horizontal="center" vertical="center"/>
    </xf>
    <xf numFmtId="0" fontId="0" fillId="0" borderId="31" xfId="0" applyBorder="1"/>
    <xf numFmtId="0" fontId="10" fillId="0" borderId="0" xfId="0" applyFont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11" fontId="11" fillId="2" borderId="33" xfId="0" applyNumberFormat="1" applyFont="1" applyFill="1" applyBorder="1" applyAlignment="1" applyProtection="1">
      <alignment horizontal="center"/>
      <protection locked="0"/>
    </xf>
    <xf numFmtId="0" fontId="11" fillId="2" borderId="33" xfId="0" applyFont="1" applyFill="1" applyBorder="1" applyAlignment="1" applyProtection="1">
      <alignment horizontal="center"/>
      <protection locked="0"/>
    </xf>
    <xf numFmtId="0" fontId="0" fillId="0" borderId="3" xfId="0" applyBorder="1"/>
    <xf numFmtId="0" fontId="0" fillId="0" borderId="4" xfId="0" applyBorder="1"/>
    <xf numFmtId="0" fontId="10" fillId="0" borderId="0" xfId="0" applyFont="1" applyAlignment="1">
      <alignment horizontal="left" vertical="center"/>
    </xf>
    <xf numFmtId="2" fontId="8" fillId="0" borderId="0" xfId="0" applyNumberFormat="1" applyFont="1" applyBorder="1" applyAlignment="1">
      <alignment horizontal="center"/>
    </xf>
    <xf numFmtId="2" fontId="9" fillId="0" borderId="0" xfId="0" applyNumberFormat="1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2" fontId="10" fillId="0" borderId="32" xfId="0" applyNumberFormat="1" applyFont="1" applyBorder="1" applyAlignment="1">
      <alignment horizontal="center" vertical="center"/>
    </xf>
    <xf numFmtId="0" fontId="10" fillId="0" borderId="32" xfId="0" applyFont="1" applyFill="1" applyBorder="1" applyAlignment="1">
      <alignment horizontal="center" vertical="center"/>
    </xf>
    <xf numFmtId="0" fontId="10" fillId="0" borderId="32" xfId="0" applyFont="1" applyBorder="1" applyAlignment="1">
      <alignment horizontal="right" vertical="center"/>
    </xf>
    <xf numFmtId="0" fontId="10" fillId="0" borderId="34" xfId="0" applyFont="1" applyBorder="1" applyAlignment="1">
      <alignment horizontal="center" vertical="center"/>
    </xf>
    <xf numFmtId="0" fontId="10" fillId="0" borderId="34" xfId="0" applyFont="1" applyFill="1" applyBorder="1" applyAlignment="1">
      <alignment horizontal="center" vertical="center"/>
    </xf>
    <xf numFmtId="2" fontId="10" fillId="0" borderId="34" xfId="0" applyNumberFormat="1" applyFont="1" applyBorder="1" applyAlignment="1">
      <alignment horizontal="center" vertical="center"/>
    </xf>
    <xf numFmtId="0" fontId="10" fillId="0" borderId="35" xfId="0" applyFont="1" applyBorder="1" applyAlignment="1">
      <alignment horizontal="center" vertical="center"/>
    </xf>
    <xf numFmtId="0" fontId="10" fillId="0" borderId="35" xfId="0" applyFont="1" applyFill="1" applyBorder="1" applyAlignment="1">
      <alignment horizontal="center" vertical="center"/>
    </xf>
    <xf numFmtId="2" fontId="10" fillId="0" borderId="35" xfId="0" applyNumberFormat="1" applyFont="1" applyBorder="1" applyAlignment="1">
      <alignment horizontal="center" vertical="center"/>
    </xf>
    <xf numFmtId="0" fontId="0" fillId="0" borderId="35" xfId="0" applyBorder="1"/>
    <xf numFmtId="0" fontId="10" fillId="0" borderId="36" xfId="0" applyFont="1" applyBorder="1" applyAlignment="1">
      <alignment horizontal="center" vertical="center"/>
    </xf>
    <xf numFmtId="0" fontId="0" fillId="0" borderId="36" xfId="0" applyBorder="1"/>
    <xf numFmtId="2" fontId="10" fillId="0" borderId="36" xfId="0" applyNumberFormat="1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4" fillId="0" borderId="9" xfId="0" applyFont="1" applyFill="1" applyBorder="1" applyAlignment="1">
      <alignment horizontal="center" vertical="center"/>
    </xf>
    <xf numFmtId="0" fontId="13" fillId="0" borderId="0" xfId="0" applyFont="1" applyBorder="1"/>
    <xf numFmtId="0" fontId="13" fillId="0" borderId="0" xfId="0" applyFont="1" applyBorder="1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0" fillId="0" borderId="37" xfId="0" applyBorder="1"/>
    <xf numFmtId="0" fontId="0" fillId="0" borderId="41" xfId="0" applyBorder="1"/>
    <xf numFmtId="0" fontId="13" fillId="0" borderId="41" xfId="0" applyFont="1" applyBorder="1"/>
    <xf numFmtId="0" fontId="13" fillId="0" borderId="43" xfId="0" applyFont="1" applyBorder="1"/>
    <xf numFmtId="0" fontId="13" fillId="0" borderId="44" xfId="0" applyFont="1" applyFill="1" applyBorder="1" applyAlignment="1">
      <alignment horizontal="right" vertical="center"/>
    </xf>
    <xf numFmtId="0" fontId="2" fillId="0" borderId="11" xfId="0" applyFont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7" fillId="0" borderId="0" xfId="0" applyFont="1" applyBorder="1"/>
    <xf numFmtId="0" fontId="2" fillId="0" borderId="0" xfId="0" applyFont="1" applyBorder="1"/>
    <xf numFmtId="0" fontId="18" fillId="0" borderId="0" xfId="0" applyFont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0" fontId="1" fillId="0" borderId="15" xfId="0" applyFont="1" applyBorder="1" applyAlignment="1">
      <alignment horizontal="center"/>
    </xf>
    <xf numFmtId="0" fontId="13" fillId="0" borderId="10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/>
    </xf>
    <xf numFmtId="0" fontId="15" fillId="0" borderId="46" xfId="0" applyFont="1" applyBorder="1" applyAlignment="1">
      <alignment horizontal="center" vertical="center"/>
    </xf>
    <xf numFmtId="0" fontId="12" fillId="0" borderId="46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/>
    </xf>
    <xf numFmtId="0" fontId="19" fillId="2" borderId="48" xfId="0" applyFont="1" applyFill="1" applyBorder="1" applyAlignment="1" applyProtection="1">
      <alignment horizontal="center"/>
      <protection locked="0"/>
    </xf>
    <xf numFmtId="0" fontId="19" fillId="2" borderId="49" xfId="0" applyFont="1" applyFill="1" applyBorder="1" applyAlignment="1" applyProtection="1">
      <alignment horizontal="center"/>
      <protection locked="0"/>
    </xf>
    <xf numFmtId="2" fontId="3" fillId="0" borderId="50" xfId="0" applyNumberFormat="1" applyFont="1" applyBorder="1" applyAlignment="1">
      <alignment horizontal="center"/>
    </xf>
    <xf numFmtId="0" fontId="2" fillId="0" borderId="51" xfId="0" applyFont="1" applyBorder="1" applyAlignment="1">
      <alignment horizontal="center"/>
    </xf>
    <xf numFmtId="0" fontId="19" fillId="2" borderId="52" xfId="0" applyFont="1" applyFill="1" applyBorder="1" applyAlignment="1" applyProtection="1">
      <alignment horizontal="center"/>
      <protection locked="0"/>
    </xf>
    <xf numFmtId="0" fontId="19" fillId="2" borderId="53" xfId="0" applyFont="1" applyFill="1" applyBorder="1" applyAlignment="1" applyProtection="1">
      <alignment horizontal="center"/>
      <protection locked="0"/>
    </xf>
    <xf numFmtId="2" fontId="3" fillId="0" borderId="54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0" fillId="0" borderId="1" xfId="0" applyFont="1" applyBorder="1"/>
    <xf numFmtId="0" fontId="20" fillId="0" borderId="14" xfId="0" applyFont="1" applyBorder="1"/>
    <xf numFmtId="0" fontId="3" fillId="0" borderId="9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1" fillId="2" borderId="10" xfId="0" applyFont="1" applyFill="1" applyBorder="1" applyAlignment="1" applyProtection="1">
      <alignment horizontal="center"/>
      <protection locked="0"/>
    </xf>
    <xf numFmtId="0" fontId="11" fillId="0" borderId="10" xfId="0" applyFont="1" applyBorder="1" applyAlignment="1">
      <alignment horizontal="center"/>
    </xf>
    <xf numFmtId="11" fontId="11" fillId="0" borderId="10" xfId="0" applyNumberFormat="1" applyFont="1" applyBorder="1" applyAlignment="1">
      <alignment horizontal="center"/>
    </xf>
    <xf numFmtId="0" fontId="2" fillId="0" borderId="40" xfId="0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42" xfId="0" applyFont="1" applyFill="1" applyBorder="1" applyAlignment="1">
      <alignment horizontal="center" vertical="center"/>
    </xf>
    <xf numFmtId="2" fontId="3" fillId="0" borderId="42" xfId="0" applyNumberFormat="1" applyFont="1" applyFill="1" applyBorder="1" applyAlignment="1">
      <alignment horizontal="center" vertical="center"/>
    </xf>
    <xf numFmtId="2" fontId="3" fillId="0" borderId="42" xfId="0" applyNumberFormat="1" applyFont="1" applyBorder="1" applyAlignment="1">
      <alignment horizontal="center" vertical="center"/>
    </xf>
    <xf numFmtId="2" fontId="3" fillId="0" borderId="38" xfId="0" applyNumberFormat="1" applyFont="1" applyBorder="1" applyAlignment="1">
      <alignment horizontal="center" vertical="center"/>
    </xf>
    <xf numFmtId="0" fontId="0" fillId="0" borderId="55" xfId="0" applyBorder="1"/>
    <xf numFmtId="0" fontId="0" fillId="0" borderId="56" xfId="0" applyBorder="1"/>
    <xf numFmtId="0" fontId="17" fillId="0" borderId="12" xfId="0" applyFont="1" applyBorder="1"/>
    <xf numFmtId="0" fontId="22" fillId="0" borderId="12" xfId="0" applyFont="1" applyBorder="1" applyAlignment="1">
      <alignment horizontal="left" vertical="center"/>
    </xf>
    <xf numFmtId="0" fontId="22" fillId="0" borderId="11" xfId="0" applyFont="1" applyBorder="1" applyAlignment="1">
      <alignment horizontal="left" vertical="center"/>
    </xf>
    <xf numFmtId="0" fontId="0" fillId="0" borderId="39" xfId="0" applyBorder="1"/>
    <xf numFmtId="0" fontId="0" fillId="0" borderId="3" xfId="0" applyBorder="1"/>
    <xf numFmtId="0" fontId="0" fillId="0" borderId="4" xfId="0" applyBorder="1"/>
    <xf numFmtId="0" fontId="3" fillId="0" borderId="57" xfId="0" applyFont="1" applyBorder="1" applyAlignment="1">
      <alignment horizontal="center" vertical="center"/>
    </xf>
    <xf numFmtId="0" fontId="11" fillId="2" borderId="58" xfId="0" applyFont="1" applyFill="1" applyBorder="1" applyAlignment="1" applyProtection="1">
      <alignment horizontal="center"/>
      <protection locked="0"/>
    </xf>
    <xf numFmtId="0" fontId="15" fillId="0" borderId="0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11" fontId="17" fillId="0" borderId="1" xfId="0" applyNumberFormat="1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11" fillId="2" borderId="60" xfId="0" applyFont="1" applyFill="1" applyBorder="1" applyAlignment="1" applyProtection="1">
      <alignment horizontal="center"/>
      <protection locked="0"/>
    </xf>
    <xf numFmtId="0" fontId="22" fillId="0" borderId="12" xfId="0" applyFont="1" applyBorder="1" applyAlignment="1">
      <alignment horizontal="center" vertical="center"/>
    </xf>
    <xf numFmtId="0" fontId="21" fillId="0" borderId="0" xfId="0" applyFont="1" applyBorder="1" applyAlignment="1">
      <alignment horizontal="left" vertical="center"/>
    </xf>
    <xf numFmtId="0" fontId="0" fillId="0" borderId="6" xfId="0" applyBorder="1"/>
    <xf numFmtId="0" fontId="0" fillId="0" borderId="7" xfId="0" applyBorder="1"/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Medium4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616797900262466E-3"/>
          <c:y val="6.4865121026538339E-2"/>
          <c:w val="0.84651739542193449"/>
          <c:h val="0.85406081657107713"/>
        </c:manualLayout>
      </c:layout>
      <c:scatterChart>
        <c:scatterStyle val="smoothMarker"/>
        <c:varyColors val="0"/>
        <c:ser>
          <c:idx val="0"/>
          <c:order val="0"/>
          <c:tx>
            <c:v>rad_out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Main!$T$4:$T$20</c:f>
              <c:numCache>
                <c:formatCode>0.00</c:formatCode>
                <c:ptCount val="17"/>
                <c:pt idx="0">
                  <c:v>0</c:v>
                </c:pt>
                <c:pt idx="1">
                  <c:v>41.922970015595581</c:v>
                </c:pt>
                <c:pt idx="2">
                  <c:v>77.463547878986276</c:v>
                </c:pt>
                <c:pt idx="3">
                  <c:v>101.21100278661146</c:v>
                </c:pt>
                <c:pt idx="4">
                  <c:v>109.55</c:v>
                </c:pt>
                <c:pt idx="5">
                  <c:v>101.21100278661146</c:v>
                </c:pt>
                <c:pt idx="6">
                  <c:v>77.46354787898629</c:v>
                </c:pt>
                <c:pt idx="7">
                  <c:v>41.922970015595595</c:v>
                </c:pt>
                <c:pt idx="8">
                  <c:v>1.3421501323523932E-14</c:v>
                </c:pt>
                <c:pt idx="9">
                  <c:v>-41.922970015595574</c:v>
                </c:pt>
                <c:pt idx="10">
                  <c:v>-77.463547878986276</c:v>
                </c:pt>
                <c:pt idx="11">
                  <c:v>-101.21100278661147</c:v>
                </c:pt>
                <c:pt idx="12">
                  <c:v>-109.55</c:v>
                </c:pt>
                <c:pt idx="13">
                  <c:v>-101.21100278661145</c:v>
                </c:pt>
                <c:pt idx="14">
                  <c:v>-77.46354787898629</c:v>
                </c:pt>
                <c:pt idx="15">
                  <c:v>-41.92297001559556</c:v>
                </c:pt>
                <c:pt idx="16">
                  <c:v>-2.6843002647047864E-14</c:v>
                </c:pt>
              </c:numCache>
            </c:numRef>
          </c:xVal>
          <c:yVal>
            <c:numRef>
              <c:f>Main!$U$4:$U$20</c:f>
              <c:numCache>
                <c:formatCode>0.00</c:formatCode>
                <c:ptCount val="17"/>
                <c:pt idx="0">
                  <c:v>109.55</c:v>
                </c:pt>
                <c:pt idx="1">
                  <c:v>101.21100278661146</c:v>
                </c:pt>
                <c:pt idx="2">
                  <c:v>77.46354787898629</c:v>
                </c:pt>
                <c:pt idx="3">
                  <c:v>41.922970015595588</c:v>
                </c:pt>
                <c:pt idx="4">
                  <c:v>6.7107506617619661E-15</c:v>
                </c:pt>
                <c:pt idx="5">
                  <c:v>-41.922970015595581</c:v>
                </c:pt>
                <c:pt idx="6">
                  <c:v>-77.463547878986276</c:v>
                </c:pt>
                <c:pt idx="7">
                  <c:v>-101.21100278661146</c:v>
                </c:pt>
                <c:pt idx="8">
                  <c:v>-109.55</c:v>
                </c:pt>
                <c:pt idx="9">
                  <c:v>-101.21100278661147</c:v>
                </c:pt>
                <c:pt idx="10">
                  <c:v>-77.46354787898629</c:v>
                </c:pt>
                <c:pt idx="11">
                  <c:v>-41.922970015595553</c:v>
                </c:pt>
                <c:pt idx="12">
                  <c:v>-2.0132251985285898E-14</c:v>
                </c:pt>
                <c:pt idx="13">
                  <c:v>41.92297001559561</c:v>
                </c:pt>
                <c:pt idx="14">
                  <c:v>77.463547878986262</c:v>
                </c:pt>
                <c:pt idx="15">
                  <c:v>101.21100278661147</c:v>
                </c:pt>
                <c:pt idx="16">
                  <c:v>109.55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C4-445E-A31D-1681ACBA4089}"/>
            </c:ext>
          </c:extLst>
        </c:ser>
        <c:ser>
          <c:idx val="1"/>
          <c:order val="1"/>
          <c:tx>
            <c:v>rad_inn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Main!$V$4:$V$20</c:f>
              <c:numCache>
                <c:formatCode>0.00</c:formatCode>
                <c:ptCount val="17"/>
                <c:pt idx="0">
                  <c:v>0</c:v>
                </c:pt>
                <c:pt idx="1">
                  <c:v>36.450596932774801</c:v>
                </c:pt>
                <c:pt idx="2">
                  <c:v>67.351920908018641</c:v>
                </c:pt>
                <c:pt idx="3">
                  <c:v>87.999525471700068</c:v>
                </c:pt>
                <c:pt idx="4">
                  <c:v>95.25</c:v>
                </c:pt>
                <c:pt idx="5">
                  <c:v>87.999525471700068</c:v>
                </c:pt>
                <c:pt idx="6">
                  <c:v>67.351920908018656</c:v>
                </c:pt>
                <c:pt idx="7">
                  <c:v>36.450596932774815</c:v>
                </c:pt>
                <c:pt idx="8">
                  <c:v>1.1669539033004606E-14</c:v>
                </c:pt>
                <c:pt idx="9">
                  <c:v>-36.450596932774793</c:v>
                </c:pt>
                <c:pt idx="10">
                  <c:v>-67.351920908018641</c:v>
                </c:pt>
                <c:pt idx="11">
                  <c:v>-87.999525471700068</c:v>
                </c:pt>
                <c:pt idx="12">
                  <c:v>-95.25</c:v>
                </c:pt>
                <c:pt idx="13">
                  <c:v>-87.999525471700053</c:v>
                </c:pt>
                <c:pt idx="14">
                  <c:v>-67.35192090801867</c:v>
                </c:pt>
                <c:pt idx="15">
                  <c:v>-36.450596932774779</c:v>
                </c:pt>
                <c:pt idx="16">
                  <c:v>-2.3339078066009211E-14</c:v>
                </c:pt>
              </c:numCache>
            </c:numRef>
          </c:xVal>
          <c:yVal>
            <c:numRef>
              <c:f>Main!$W$4:$W$20</c:f>
              <c:numCache>
                <c:formatCode>0.00</c:formatCode>
                <c:ptCount val="17"/>
                <c:pt idx="0">
                  <c:v>95.25</c:v>
                </c:pt>
                <c:pt idx="1">
                  <c:v>87.999525471700068</c:v>
                </c:pt>
                <c:pt idx="2">
                  <c:v>67.351920908018656</c:v>
                </c:pt>
                <c:pt idx="3">
                  <c:v>36.450596932774808</c:v>
                </c:pt>
                <c:pt idx="4">
                  <c:v>5.8347695165023028E-15</c:v>
                </c:pt>
                <c:pt idx="5">
                  <c:v>-36.450596932774793</c:v>
                </c:pt>
                <c:pt idx="6">
                  <c:v>-67.351920908018641</c:v>
                </c:pt>
                <c:pt idx="7">
                  <c:v>-87.999525471700068</c:v>
                </c:pt>
                <c:pt idx="8">
                  <c:v>-95.25</c:v>
                </c:pt>
                <c:pt idx="9">
                  <c:v>-87.999525471700068</c:v>
                </c:pt>
                <c:pt idx="10">
                  <c:v>-67.35192090801867</c:v>
                </c:pt>
                <c:pt idx="11">
                  <c:v>-36.450596932774772</c:v>
                </c:pt>
                <c:pt idx="12">
                  <c:v>-1.7504308549506908E-14</c:v>
                </c:pt>
                <c:pt idx="13">
                  <c:v>36.450596932774822</c:v>
                </c:pt>
                <c:pt idx="14">
                  <c:v>67.351920908018641</c:v>
                </c:pt>
                <c:pt idx="15">
                  <c:v>87.999525471700068</c:v>
                </c:pt>
                <c:pt idx="16">
                  <c:v>95.25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CC4-445E-A31D-1681ACBA4089}"/>
            </c:ext>
          </c:extLst>
        </c:ser>
        <c:ser>
          <c:idx val="2"/>
          <c:order val="2"/>
          <c:tx>
            <c:v>axis_y</c:v>
          </c:tx>
          <c:spPr>
            <a:ln w="12700">
              <a:solidFill>
                <a:srgbClr val="0000FF"/>
              </a:solidFill>
              <a:prstDash val="lgDashDot"/>
            </a:ln>
          </c:spPr>
          <c:marker>
            <c:symbol val="none"/>
          </c:marker>
          <c:xVal>
            <c:numRef>
              <c:f>Main!$Q$23:$Q$24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Main!$P$23:$P$24</c:f>
              <c:numCache>
                <c:formatCode>0.00</c:formatCode>
                <c:ptCount val="2"/>
                <c:pt idx="0">
                  <c:v>109.55</c:v>
                </c:pt>
                <c:pt idx="1">
                  <c:v>-109.55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CC4-445E-A31D-1681ACBA4089}"/>
            </c:ext>
          </c:extLst>
        </c:ser>
        <c:ser>
          <c:idx val="3"/>
          <c:order val="3"/>
          <c:tx>
            <c:v>axis_x</c:v>
          </c:tx>
          <c:spPr>
            <a:ln w="12700">
              <a:solidFill>
                <a:srgbClr val="0000FF"/>
              </a:solidFill>
              <a:prstDash val="lgDashDot"/>
            </a:ln>
          </c:spPr>
          <c:marker>
            <c:symbol val="circle"/>
            <c:size val="3"/>
            <c:spPr>
              <a:solidFill>
                <a:srgbClr val="FFFFCC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Main!$P$23:$P$24</c:f>
              <c:numCache>
                <c:formatCode>0.00</c:formatCode>
                <c:ptCount val="2"/>
                <c:pt idx="0">
                  <c:v>109.55</c:v>
                </c:pt>
                <c:pt idx="1">
                  <c:v>-109.55</c:v>
                </c:pt>
              </c:numCache>
            </c:numRef>
          </c:xVal>
          <c:yVal>
            <c:numRef>
              <c:f>Main!$Q$23:$Q$24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CC4-445E-A31D-1681ACBA4089}"/>
            </c:ext>
          </c:extLst>
        </c:ser>
        <c:ser>
          <c:idx val="4"/>
          <c:order val="4"/>
          <c:tx>
            <c:v>Dim_D1</c:v>
          </c:tx>
          <c:spPr>
            <a:ln w="12700">
              <a:solidFill>
                <a:srgbClr val="808080"/>
              </a:solidFill>
              <a:prstDash val="sysDash"/>
            </a:ln>
          </c:spPr>
          <c:marker>
            <c:symbol val="circle"/>
            <c:size val="3"/>
            <c:spPr>
              <a:solidFill>
                <a:srgbClr val="FFFFCC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Main!$S$23:$S$24</c:f>
              <c:numCache>
                <c:formatCode>0.00</c:formatCode>
                <c:ptCount val="2"/>
                <c:pt idx="0">
                  <c:v>0</c:v>
                </c:pt>
                <c:pt idx="1">
                  <c:v>120.50500000000001</c:v>
                </c:pt>
              </c:numCache>
            </c:numRef>
          </c:xVal>
          <c:yVal>
            <c:numRef>
              <c:f>Main!$R$23:$R$24</c:f>
              <c:numCache>
                <c:formatCode>0.00</c:formatCode>
                <c:ptCount val="2"/>
                <c:pt idx="0">
                  <c:v>109.55</c:v>
                </c:pt>
                <c:pt idx="1">
                  <c:v>109.55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CC4-445E-A31D-1681ACBA4089}"/>
            </c:ext>
          </c:extLst>
        </c:ser>
        <c:ser>
          <c:idx val="5"/>
          <c:order val="5"/>
          <c:tx>
            <c:v>Dim_D2</c:v>
          </c:tx>
          <c:spPr>
            <a:ln w="12700">
              <a:solidFill>
                <a:srgbClr val="808080"/>
              </a:solidFill>
              <a:prstDash val="sysDash"/>
            </a:ln>
          </c:spPr>
          <c:marker>
            <c:symbol val="circle"/>
            <c:size val="3"/>
            <c:spPr>
              <a:solidFill>
                <a:srgbClr val="FFFF99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Main!$U$23:$U$24</c:f>
              <c:numCache>
                <c:formatCode>0.00</c:formatCode>
                <c:ptCount val="2"/>
                <c:pt idx="0">
                  <c:v>0</c:v>
                </c:pt>
                <c:pt idx="1">
                  <c:v>120.50500000000001</c:v>
                </c:pt>
              </c:numCache>
            </c:numRef>
          </c:xVal>
          <c:yVal>
            <c:numRef>
              <c:f>Main!$T$23:$T$24</c:f>
              <c:numCache>
                <c:formatCode>0.00</c:formatCode>
                <c:ptCount val="2"/>
                <c:pt idx="0">
                  <c:v>-109.55</c:v>
                </c:pt>
                <c:pt idx="1">
                  <c:v>-109.55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CC4-445E-A31D-1681ACBA4089}"/>
            </c:ext>
          </c:extLst>
        </c:ser>
        <c:ser>
          <c:idx val="6"/>
          <c:order val="6"/>
          <c:tx>
            <c:v>Dim_D3</c:v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Main!$W$23:$W$24</c:f>
              <c:numCache>
                <c:formatCode>0.00</c:formatCode>
                <c:ptCount val="2"/>
                <c:pt idx="0">
                  <c:v>120.50500000000001</c:v>
                </c:pt>
                <c:pt idx="1">
                  <c:v>120.50500000000001</c:v>
                </c:pt>
              </c:numCache>
            </c:numRef>
          </c:xVal>
          <c:yVal>
            <c:numRef>
              <c:f>Main!$V$23:$V$24</c:f>
              <c:numCache>
                <c:formatCode>0.00</c:formatCode>
                <c:ptCount val="2"/>
                <c:pt idx="0">
                  <c:v>109.55</c:v>
                </c:pt>
                <c:pt idx="1">
                  <c:v>-109.55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CC4-445E-A31D-1681ACBA4089}"/>
            </c:ext>
          </c:extLst>
        </c:ser>
        <c:ser>
          <c:idx val="7"/>
          <c:order val="7"/>
          <c:tx>
            <c:v>Dim_da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66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Main!$Q$26:$Q$27</c:f>
              <c:numCache>
                <c:formatCode>0.00</c:formatCode>
                <c:ptCount val="2"/>
                <c:pt idx="0">
                  <c:v>-67.351920908018641</c:v>
                </c:pt>
                <c:pt idx="1">
                  <c:v>-53.881536726414922</c:v>
                </c:pt>
              </c:numCache>
            </c:numRef>
          </c:xVal>
          <c:yVal>
            <c:numRef>
              <c:f>Main!$P$26:$P$27</c:f>
              <c:numCache>
                <c:formatCode>0.00</c:formatCode>
                <c:ptCount val="2"/>
                <c:pt idx="0">
                  <c:v>67.351920908018656</c:v>
                </c:pt>
                <c:pt idx="1">
                  <c:v>53.881536726414929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CC4-445E-A31D-1681ACBA4089}"/>
            </c:ext>
          </c:extLst>
        </c:ser>
        <c:ser>
          <c:idx val="8"/>
          <c:order val="8"/>
          <c:tx>
            <c:v>Dim_db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66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Main!$S$26:$S$27</c:f>
              <c:numCache>
                <c:formatCode>0.00</c:formatCode>
                <c:ptCount val="2"/>
                <c:pt idx="0">
                  <c:v>-77.463547878986276</c:v>
                </c:pt>
                <c:pt idx="1">
                  <c:v>-92.95625745478354</c:v>
                </c:pt>
              </c:numCache>
            </c:numRef>
          </c:xVal>
          <c:yVal>
            <c:numRef>
              <c:f>Main!$R$26:$R$27</c:f>
              <c:numCache>
                <c:formatCode>0.00</c:formatCode>
                <c:ptCount val="2"/>
                <c:pt idx="0">
                  <c:v>77.46354787898629</c:v>
                </c:pt>
                <c:pt idx="1">
                  <c:v>92.956257454783554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CC4-445E-A31D-1681ACBA4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755967"/>
        <c:axId val="1"/>
      </c:scatterChart>
      <c:valAx>
        <c:axId val="446755967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"/>
        <c:crosses val="autoZero"/>
        <c:crossBetween val="midCat"/>
      </c:valAx>
      <c:valAx>
        <c:axId val="1"/>
        <c:scaling>
          <c:orientation val="minMax"/>
        </c:scaling>
        <c:delete val="1"/>
        <c:axPos val="l"/>
        <c:numFmt formatCode="0.00" sourceLinked="1"/>
        <c:majorTickMark val="out"/>
        <c:minorTickMark val="none"/>
        <c:tickLblPos val="nextTo"/>
        <c:crossAx val="446755967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Torque!$B$1</c:f>
              <c:strCache>
                <c:ptCount val="1"/>
                <c:pt idx="0">
                  <c:v>Fbolt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Torque!$A$2:$A$101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Torque!$B$2:$B$101</c:f>
              <c:numCache>
                <c:formatCode>0.00</c:formatCode>
                <c:ptCount val="100"/>
                <c:pt idx="0">
                  <c:v>1.6165799578347118</c:v>
                </c:pt>
                <c:pt idx="1">
                  <c:v>3.2331599156694235</c:v>
                </c:pt>
                <c:pt idx="2">
                  <c:v>4.8497398735041353</c:v>
                </c:pt>
                <c:pt idx="3">
                  <c:v>6.466319831338847</c:v>
                </c:pt>
                <c:pt idx="4">
                  <c:v>8.0828997891735597</c:v>
                </c:pt>
                <c:pt idx="5">
                  <c:v>9.6994797470082705</c:v>
                </c:pt>
                <c:pt idx="6">
                  <c:v>11.316059704842983</c:v>
                </c:pt>
                <c:pt idx="7">
                  <c:v>12.932639662677694</c:v>
                </c:pt>
                <c:pt idx="8">
                  <c:v>14.549219620512407</c:v>
                </c:pt>
                <c:pt idx="9">
                  <c:v>16.165799578347119</c:v>
                </c:pt>
                <c:pt idx="10">
                  <c:v>17.782379536181828</c:v>
                </c:pt>
                <c:pt idx="11">
                  <c:v>19.398959494016541</c:v>
                </c:pt>
                <c:pt idx="12">
                  <c:v>21.015539451851254</c:v>
                </c:pt>
                <c:pt idx="13">
                  <c:v>22.632119409685966</c:v>
                </c:pt>
                <c:pt idx="14">
                  <c:v>24.248699367520675</c:v>
                </c:pt>
                <c:pt idx="15">
                  <c:v>25.865279325355388</c:v>
                </c:pt>
                <c:pt idx="16">
                  <c:v>27.481859283190101</c:v>
                </c:pt>
                <c:pt idx="17">
                  <c:v>29.098439241024813</c:v>
                </c:pt>
                <c:pt idx="18">
                  <c:v>30.715019198859522</c:v>
                </c:pt>
                <c:pt idx="19">
                  <c:v>32.331599156694239</c:v>
                </c:pt>
                <c:pt idx="20">
                  <c:v>33.948179114528948</c:v>
                </c:pt>
                <c:pt idx="21">
                  <c:v>35.564759072363657</c:v>
                </c:pt>
                <c:pt idx="22">
                  <c:v>37.181339030198373</c:v>
                </c:pt>
                <c:pt idx="23">
                  <c:v>38.797918988033082</c:v>
                </c:pt>
                <c:pt idx="24">
                  <c:v>40.414498945867791</c:v>
                </c:pt>
                <c:pt idx="25">
                  <c:v>42.031078903702507</c:v>
                </c:pt>
                <c:pt idx="26">
                  <c:v>43.647658861537217</c:v>
                </c:pt>
                <c:pt idx="27">
                  <c:v>45.264238819371933</c:v>
                </c:pt>
                <c:pt idx="28">
                  <c:v>46.880818777206642</c:v>
                </c:pt>
                <c:pt idx="29">
                  <c:v>48.497398735041351</c:v>
                </c:pt>
                <c:pt idx="30">
                  <c:v>50.113978692876067</c:v>
                </c:pt>
                <c:pt idx="31">
                  <c:v>51.730558650710776</c:v>
                </c:pt>
                <c:pt idx="32">
                  <c:v>53.347138608545492</c:v>
                </c:pt>
                <c:pt idx="33">
                  <c:v>54.963718566380201</c:v>
                </c:pt>
                <c:pt idx="34">
                  <c:v>56.580298524214911</c:v>
                </c:pt>
                <c:pt idx="35">
                  <c:v>58.196878482049627</c:v>
                </c:pt>
                <c:pt idx="36">
                  <c:v>59.813458439884336</c:v>
                </c:pt>
                <c:pt idx="37">
                  <c:v>61.430038397719045</c:v>
                </c:pt>
                <c:pt idx="38">
                  <c:v>63.046618355553761</c:v>
                </c:pt>
                <c:pt idx="39">
                  <c:v>64.663198313388477</c:v>
                </c:pt>
                <c:pt idx="40">
                  <c:v>66.279778271223179</c:v>
                </c:pt>
                <c:pt idx="41">
                  <c:v>67.896358229057896</c:v>
                </c:pt>
                <c:pt idx="42">
                  <c:v>69.512938186892612</c:v>
                </c:pt>
                <c:pt idx="43">
                  <c:v>71.129518144727314</c:v>
                </c:pt>
                <c:pt idx="44">
                  <c:v>72.74609810256203</c:v>
                </c:pt>
                <c:pt idx="45">
                  <c:v>74.362678060396746</c:v>
                </c:pt>
                <c:pt idx="46">
                  <c:v>75.979258018231448</c:v>
                </c:pt>
                <c:pt idx="47">
                  <c:v>77.595837976066164</c:v>
                </c:pt>
                <c:pt idx="48">
                  <c:v>79.21241793390088</c:v>
                </c:pt>
                <c:pt idx="49">
                  <c:v>80.828997891735582</c:v>
                </c:pt>
                <c:pt idx="50">
                  <c:v>82.445577849570299</c:v>
                </c:pt>
                <c:pt idx="51">
                  <c:v>84.062157807405015</c:v>
                </c:pt>
                <c:pt idx="52">
                  <c:v>85.678737765239731</c:v>
                </c:pt>
                <c:pt idx="53">
                  <c:v>87.295317723074433</c:v>
                </c:pt>
                <c:pt idx="54">
                  <c:v>88.911897680909149</c:v>
                </c:pt>
                <c:pt idx="55">
                  <c:v>90.528477638743865</c:v>
                </c:pt>
                <c:pt idx="56">
                  <c:v>92.145057596578567</c:v>
                </c:pt>
                <c:pt idx="57">
                  <c:v>93.761637554413284</c:v>
                </c:pt>
                <c:pt idx="58">
                  <c:v>95.378217512248</c:v>
                </c:pt>
                <c:pt idx="59">
                  <c:v>96.994797470082702</c:v>
                </c:pt>
                <c:pt idx="60">
                  <c:v>98.611377427917418</c:v>
                </c:pt>
                <c:pt idx="61">
                  <c:v>100.22795738575213</c:v>
                </c:pt>
                <c:pt idx="62">
                  <c:v>101.84453734358684</c:v>
                </c:pt>
                <c:pt idx="63">
                  <c:v>103.46111730142155</c:v>
                </c:pt>
                <c:pt idx="64">
                  <c:v>105.07769725925627</c:v>
                </c:pt>
                <c:pt idx="65">
                  <c:v>106.69427721709098</c:v>
                </c:pt>
                <c:pt idx="66">
                  <c:v>108.31085717492569</c:v>
                </c:pt>
                <c:pt idx="67">
                  <c:v>109.9274371327604</c:v>
                </c:pt>
                <c:pt idx="68">
                  <c:v>111.54401709059512</c:v>
                </c:pt>
                <c:pt idx="69">
                  <c:v>113.16059704842982</c:v>
                </c:pt>
                <c:pt idx="70">
                  <c:v>114.77717700626454</c:v>
                </c:pt>
                <c:pt idx="71">
                  <c:v>116.39375696409925</c:v>
                </c:pt>
                <c:pt idx="72">
                  <c:v>118.01033692193396</c:v>
                </c:pt>
                <c:pt idx="73">
                  <c:v>119.62691687976867</c:v>
                </c:pt>
                <c:pt idx="74">
                  <c:v>121.24349683760339</c:v>
                </c:pt>
                <c:pt idx="75">
                  <c:v>122.86007679543809</c:v>
                </c:pt>
                <c:pt idx="76">
                  <c:v>124.47665675327281</c:v>
                </c:pt>
                <c:pt idx="77">
                  <c:v>126.09323671110752</c:v>
                </c:pt>
                <c:pt idx="78">
                  <c:v>127.70981666894224</c:v>
                </c:pt>
                <c:pt idx="79">
                  <c:v>129.32639662677695</c:v>
                </c:pt>
                <c:pt idx="80">
                  <c:v>130.94297658461164</c:v>
                </c:pt>
                <c:pt idx="81">
                  <c:v>132.55955654244636</c:v>
                </c:pt>
                <c:pt idx="82">
                  <c:v>134.17613650028107</c:v>
                </c:pt>
                <c:pt idx="83">
                  <c:v>135.79271645811579</c:v>
                </c:pt>
                <c:pt idx="84">
                  <c:v>137.40929641595051</c:v>
                </c:pt>
                <c:pt idx="85">
                  <c:v>139.02587637378522</c:v>
                </c:pt>
                <c:pt idx="86">
                  <c:v>140.64245633161994</c:v>
                </c:pt>
                <c:pt idx="87">
                  <c:v>142.25903628945463</c:v>
                </c:pt>
                <c:pt idx="88">
                  <c:v>143.87561624728934</c:v>
                </c:pt>
                <c:pt idx="89">
                  <c:v>145.49219620512406</c:v>
                </c:pt>
                <c:pt idx="90">
                  <c:v>147.10877616295878</c:v>
                </c:pt>
                <c:pt idx="91">
                  <c:v>148.72535612079349</c:v>
                </c:pt>
                <c:pt idx="92">
                  <c:v>150.34193607862821</c:v>
                </c:pt>
                <c:pt idx="93">
                  <c:v>151.9585160364629</c:v>
                </c:pt>
                <c:pt idx="94">
                  <c:v>153.57509599429761</c:v>
                </c:pt>
                <c:pt idx="95">
                  <c:v>155.19167595213233</c:v>
                </c:pt>
                <c:pt idx="96">
                  <c:v>156.80825590996704</c:v>
                </c:pt>
                <c:pt idx="97">
                  <c:v>158.42483586780176</c:v>
                </c:pt>
                <c:pt idx="98">
                  <c:v>160.04141582563648</c:v>
                </c:pt>
                <c:pt idx="99">
                  <c:v>161.65799578347116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8E-4447-BA07-C057FF135BAD}"/>
            </c:ext>
          </c:extLst>
        </c:ser>
        <c:ser>
          <c:idx val="1"/>
          <c:order val="1"/>
          <c:tx>
            <c:strRef>
              <c:f>Torque!$C$1</c:f>
              <c:strCache>
                <c:ptCount val="1"/>
                <c:pt idx="0">
                  <c:v>Fseal</c:v>
                </c:pt>
              </c:strCache>
            </c:strRef>
          </c:tx>
          <c:spPr>
            <a:ln w="25400" cap="rnd">
              <a:solidFill>
                <a:srgbClr val="FFFF00"/>
              </a:solidFill>
              <a:round/>
            </a:ln>
            <a:effectLst>
              <a:glow rad="63500">
                <a:schemeClr val="accent3">
                  <a:satMod val="175000"/>
                  <a:alpha val="60000"/>
                </a:schemeClr>
              </a:glow>
            </a:effectLst>
          </c:spPr>
          <c:marker>
            <c:symbol val="none"/>
          </c:marker>
          <c:xVal>
            <c:numRef>
              <c:f>Torque!$A$2:$A$101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Torque!$C$2:$C$101</c:f>
              <c:numCache>
                <c:formatCode>0.00</c:formatCode>
                <c:ptCount val="100"/>
                <c:pt idx="0">
                  <c:v>0.95647647505220446</c:v>
                </c:pt>
                <c:pt idx="1">
                  <c:v>1.9129529501044089</c:v>
                </c:pt>
                <c:pt idx="2">
                  <c:v>2.8694294251566133</c:v>
                </c:pt>
                <c:pt idx="3">
                  <c:v>3.8259059002088178</c:v>
                </c:pt>
                <c:pt idx="4">
                  <c:v>4.7823823752610233</c:v>
                </c:pt>
                <c:pt idx="5">
                  <c:v>5.7388588503132265</c:v>
                </c:pt>
                <c:pt idx="6">
                  <c:v>6.6953353253654315</c:v>
                </c:pt>
                <c:pt idx="7">
                  <c:v>7.6518118004176356</c:v>
                </c:pt>
                <c:pt idx="8">
                  <c:v>8.6082882754698407</c:v>
                </c:pt>
                <c:pt idx="9">
                  <c:v>9.5647647505220466</c:v>
                </c:pt>
                <c:pt idx="10">
                  <c:v>10.521241225574249</c:v>
                </c:pt>
                <c:pt idx="11">
                  <c:v>11.477717700626453</c:v>
                </c:pt>
                <c:pt idx="12">
                  <c:v>12.434194175678659</c:v>
                </c:pt>
                <c:pt idx="13">
                  <c:v>13.390670650730863</c:v>
                </c:pt>
                <c:pt idx="14">
                  <c:v>14.347147125783067</c:v>
                </c:pt>
                <c:pt idx="15">
                  <c:v>15.303623600835271</c:v>
                </c:pt>
                <c:pt idx="16">
                  <c:v>16.260100075887475</c:v>
                </c:pt>
                <c:pt idx="17">
                  <c:v>17.216576550939681</c:v>
                </c:pt>
                <c:pt idx="18">
                  <c:v>18.173053025991884</c:v>
                </c:pt>
                <c:pt idx="19">
                  <c:v>19.129529501044093</c:v>
                </c:pt>
                <c:pt idx="20">
                  <c:v>20.086005976096295</c:v>
                </c:pt>
                <c:pt idx="21">
                  <c:v>21.042482451148498</c:v>
                </c:pt>
                <c:pt idx="22">
                  <c:v>21.998958926200704</c:v>
                </c:pt>
                <c:pt idx="23">
                  <c:v>22.955435401252906</c:v>
                </c:pt>
                <c:pt idx="24">
                  <c:v>23.911911876305108</c:v>
                </c:pt>
                <c:pt idx="25">
                  <c:v>24.868388351357318</c:v>
                </c:pt>
                <c:pt idx="26">
                  <c:v>25.82486482640952</c:v>
                </c:pt>
                <c:pt idx="27">
                  <c:v>26.781341301461726</c:v>
                </c:pt>
                <c:pt idx="28">
                  <c:v>27.737817776513928</c:v>
                </c:pt>
                <c:pt idx="29">
                  <c:v>28.694294251566134</c:v>
                </c:pt>
                <c:pt idx="30">
                  <c:v>29.65077072661834</c:v>
                </c:pt>
                <c:pt idx="31">
                  <c:v>30.607247201670543</c:v>
                </c:pt>
                <c:pt idx="32">
                  <c:v>31.563723676722748</c:v>
                </c:pt>
                <c:pt idx="33">
                  <c:v>32.520200151774951</c:v>
                </c:pt>
                <c:pt idx="34">
                  <c:v>33.476676626827157</c:v>
                </c:pt>
                <c:pt idx="35">
                  <c:v>34.433153101879363</c:v>
                </c:pt>
                <c:pt idx="36">
                  <c:v>35.389629576931569</c:v>
                </c:pt>
                <c:pt idx="37">
                  <c:v>36.346106051983767</c:v>
                </c:pt>
                <c:pt idx="38">
                  <c:v>37.302582527035973</c:v>
                </c:pt>
                <c:pt idx="39">
                  <c:v>38.259059002088186</c:v>
                </c:pt>
                <c:pt idx="40">
                  <c:v>39.215535477140385</c:v>
                </c:pt>
                <c:pt idx="41">
                  <c:v>40.172011952192591</c:v>
                </c:pt>
                <c:pt idx="42">
                  <c:v>41.128488427244797</c:v>
                </c:pt>
                <c:pt idx="43">
                  <c:v>42.084964902296996</c:v>
                </c:pt>
                <c:pt idx="44">
                  <c:v>43.041441377349202</c:v>
                </c:pt>
                <c:pt idx="45">
                  <c:v>43.997917852401407</c:v>
                </c:pt>
                <c:pt idx="46">
                  <c:v>44.954394327453606</c:v>
                </c:pt>
                <c:pt idx="47">
                  <c:v>45.910870802505812</c:v>
                </c:pt>
                <c:pt idx="48">
                  <c:v>46.867347277558018</c:v>
                </c:pt>
                <c:pt idx="49">
                  <c:v>47.823823752610217</c:v>
                </c:pt>
                <c:pt idx="50">
                  <c:v>48.78030022766243</c:v>
                </c:pt>
                <c:pt idx="51">
                  <c:v>49.736776702714636</c:v>
                </c:pt>
                <c:pt idx="52">
                  <c:v>50.693253177766842</c:v>
                </c:pt>
                <c:pt idx="53">
                  <c:v>51.64972965281904</c:v>
                </c:pt>
                <c:pt idx="54">
                  <c:v>52.606206127871246</c:v>
                </c:pt>
                <c:pt idx="55">
                  <c:v>53.562682602923452</c:v>
                </c:pt>
                <c:pt idx="56">
                  <c:v>54.519159077975651</c:v>
                </c:pt>
                <c:pt idx="57">
                  <c:v>55.475635553027857</c:v>
                </c:pt>
                <c:pt idx="58">
                  <c:v>56.43211202808007</c:v>
                </c:pt>
                <c:pt idx="59">
                  <c:v>57.388588503132269</c:v>
                </c:pt>
                <c:pt idx="60">
                  <c:v>58.345064978184475</c:v>
                </c:pt>
                <c:pt idx="61">
                  <c:v>59.30154145323668</c:v>
                </c:pt>
                <c:pt idx="62">
                  <c:v>60.258017928288879</c:v>
                </c:pt>
                <c:pt idx="63">
                  <c:v>61.214494403341085</c:v>
                </c:pt>
                <c:pt idx="64">
                  <c:v>62.170970878393291</c:v>
                </c:pt>
                <c:pt idx="65">
                  <c:v>63.127447353445497</c:v>
                </c:pt>
                <c:pt idx="66">
                  <c:v>64.083923828497703</c:v>
                </c:pt>
                <c:pt idx="67">
                  <c:v>65.040400303549902</c:v>
                </c:pt>
                <c:pt idx="68">
                  <c:v>65.996876778602115</c:v>
                </c:pt>
                <c:pt idx="69">
                  <c:v>66.953353253654313</c:v>
                </c:pt>
                <c:pt idx="70">
                  <c:v>67.909829728706512</c:v>
                </c:pt>
                <c:pt idx="71">
                  <c:v>68.866306203758725</c:v>
                </c:pt>
                <c:pt idx="72">
                  <c:v>69.822782678810924</c:v>
                </c:pt>
                <c:pt idx="73">
                  <c:v>70.779259153863137</c:v>
                </c:pt>
                <c:pt idx="74">
                  <c:v>71.735735628915336</c:v>
                </c:pt>
                <c:pt idx="75">
                  <c:v>72.692212103967535</c:v>
                </c:pt>
                <c:pt idx="76">
                  <c:v>73.648688579019748</c:v>
                </c:pt>
                <c:pt idx="77">
                  <c:v>74.605165054071946</c:v>
                </c:pt>
                <c:pt idx="78">
                  <c:v>75.561641529124159</c:v>
                </c:pt>
                <c:pt idx="79">
                  <c:v>76.518118004176372</c:v>
                </c:pt>
                <c:pt idx="80">
                  <c:v>77.474594479228557</c:v>
                </c:pt>
                <c:pt idx="81">
                  <c:v>78.43107095428077</c:v>
                </c:pt>
                <c:pt idx="82">
                  <c:v>79.387547429332969</c:v>
                </c:pt>
                <c:pt idx="83">
                  <c:v>80.344023904385182</c:v>
                </c:pt>
                <c:pt idx="84">
                  <c:v>81.300500379437381</c:v>
                </c:pt>
                <c:pt idx="85">
                  <c:v>82.256976854489594</c:v>
                </c:pt>
                <c:pt idx="86">
                  <c:v>83.213453329541792</c:v>
                </c:pt>
                <c:pt idx="87">
                  <c:v>84.169929804593991</c:v>
                </c:pt>
                <c:pt idx="88">
                  <c:v>85.12640627964619</c:v>
                </c:pt>
                <c:pt idx="89">
                  <c:v>86.082882754698403</c:v>
                </c:pt>
                <c:pt idx="90">
                  <c:v>87.039359229750616</c:v>
                </c:pt>
                <c:pt idx="91">
                  <c:v>87.995835704802815</c:v>
                </c:pt>
                <c:pt idx="92">
                  <c:v>88.952312179855028</c:v>
                </c:pt>
                <c:pt idx="93">
                  <c:v>89.908788654907212</c:v>
                </c:pt>
                <c:pt idx="94">
                  <c:v>90.865265129959425</c:v>
                </c:pt>
                <c:pt idx="95">
                  <c:v>91.821741605011624</c:v>
                </c:pt>
                <c:pt idx="96">
                  <c:v>92.778218080063837</c:v>
                </c:pt>
                <c:pt idx="97">
                  <c:v>93.734694555116036</c:v>
                </c:pt>
                <c:pt idx="98">
                  <c:v>94.691171030168249</c:v>
                </c:pt>
                <c:pt idx="99">
                  <c:v>95.647647505220434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F8E-4447-BA07-C057FF135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4595759"/>
        <c:axId val="1044596175"/>
      </c:scatterChart>
      <c:valAx>
        <c:axId val="1044595759"/>
        <c:scaling>
          <c:orientation val="minMax"/>
          <c:max val="1000"/>
        </c:scaling>
        <c:delete val="0"/>
        <c:axPos val="b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FFFF66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Bolt Torque [Nm]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FFFF66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66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4596175"/>
        <c:crosses val="autoZero"/>
        <c:crossBetween val="midCat"/>
        <c:majorUnit val="100"/>
        <c:minorUnit val="10"/>
      </c:valAx>
      <c:valAx>
        <c:axId val="1044596175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FFFF66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Force [N]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FFFF66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66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4595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FFFF66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65000"/>
        <a:lumOff val="35000"/>
        <a:alpha val="98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rgbClr val="FFFF66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0</xdr:row>
      <xdr:rowOff>0</xdr:rowOff>
    </xdr:from>
    <xdr:ext cx="1095375" cy="733425"/>
    <xdr:pic>
      <xdr:nvPicPr>
        <xdr:cNvPr id="2" name="Picture 1">
          <a:extLst>
            <a:ext uri="{FF2B5EF4-FFF2-40B4-BE49-F238E27FC236}">
              <a16:creationId xmlns:a16="http://schemas.microsoft.com/office/drawing/2014/main" id="{D6AD1378-BE93-43B5-8CD6-AFD2C000BFC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/>
        <a:srcRect b="35490"/>
        <a:stretch>
          <a:fillRect/>
        </a:stretch>
      </xdr:blipFill>
      <xdr:spPr bwMode="auto">
        <a:xfrm>
          <a:off x="38100" y="0"/>
          <a:ext cx="1095375" cy="733425"/>
        </a:xfrm>
        <a:prstGeom prst="rect">
          <a:avLst/>
        </a:prstGeom>
        <a:noFill/>
        <a:ln>
          <a:noFill/>
          <a:prstDash val="solid"/>
        </a:ln>
      </xdr:spPr>
    </xdr:pic>
    <xdr:clientData/>
  </xdr:oneCellAnchor>
  <xdr:oneCellAnchor>
    <xdr:from>
      <xdr:col>7</xdr:col>
      <xdr:colOff>19050</xdr:colOff>
      <xdr:row>0</xdr:row>
      <xdr:rowOff>0</xdr:rowOff>
    </xdr:from>
    <xdr:ext cx="1095375" cy="733425"/>
    <xdr:pic>
      <xdr:nvPicPr>
        <xdr:cNvPr id="3" name="Picture 2">
          <a:extLst>
            <a:ext uri="{FF2B5EF4-FFF2-40B4-BE49-F238E27FC236}">
              <a16:creationId xmlns:a16="http://schemas.microsoft.com/office/drawing/2014/main" id="{4D81C4C0-D17E-4752-B091-24530FE168E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/>
        <a:srcRect b="35490"/>
        <a:stretch>
          <a:fillRect/>
        </a:stretch>
      </xdr:blipFill>
      <xdr:spPr bwMode="auto">
        <a:xfrm>
          <a:off x="5448300" y="0"/>
          <a:ext cx="1095375" cy="733425"/>
        </a:xfrm>
        <a:prstGeom prst="rect">
          <a:avLst/>
        </a:prstGeom>
        <a:noFill/>
        <a:ln>
          <a:noFill/>
          <a:prstDash val="solid"/>
        </a:ln>
      </xdr:spPr>
    </xdr:pic>
    <xdr:clientData/>
  </xdr:oneCellAnchor>
  <xdr:oneCellAnchor>
    <xdr:from>
      <xdr:col>0</xdr:col>
      <xdr:colOff>38100</xdr:colOff>
      <xdr:row>42</xdr:row>
      <xdr:rowOff>0</xdr:rowOff>
    </xdr:from>
    <xdr:ext cx="1095375" cy="733425"/>
    <xdr:pic>
      <xdr:nvPicPr>
        <xdr:cNvPr id="4" name="Picture 3">
          <a:extLst>
            <a:ext uri="{FF2B5EF4-FFF2-40B4-BE49-F238E27FC236}">
              <a16:creationId xmlns:a16="http://schemas.microsoft.com/office/drawing/2014/main" id="{2DD27B88-B879-4487-B38B-DF41EA48811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/>
        <a:srcRect b="35490"/>
        <a:stretch>
          <a:fillRect/>
        </a:stretch>
      </xdr:blipFill>
      <xdr:spPr bwMode="auto">
        <a:xfrm>
          <a:off x="38100" y="0"/>
          <a:ext cx="1095375" cy="733425"/>
        </a:xfrm>
        <a:prstGeom prst="rect">
          <a:avLst/>
        </a:prstGeom>
        <a:noFill/>
        <a:ln>
          <a:noFill/>
          <a:prstDash val="solid"/>
        </a:ln>
      </xdr:spPr>
    </xdr:pic>
    <xdr:clientData/>
  </xdr:oneCellAnchor>
  <xdr:oneCellAnchor>
    <xdr:from>
      <xdr:col>7</xdr:col>
      <xdr:colOff>19050</xdr:colOff>
      <xdr:row>42</xdr:row>
      <xdr:rowOff>0</xdr:rowOff>
    </xdr:from>
    <xdr:ext cx="1095375" cy="733425"/>
    <xdr:pic>
      <xdr:nvPicPr>
        <xdr:cNvPr id="5" name="Picture 4">
          <a:extLst>
            <a:ext uri="{FF2B5EF4-FFF2-40B4-BE49-F238E27FC236}">
              <a16:creationId xmlns:a16="http://schemas.microsoft.com/office/drawing/2014/main" id="{907718A4-8EA5-4B8D-852F-7349143B9E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/>
        <a:srcRect b="35490"/>
        <a:stretch>
          <a:fillRect/>
        </a:stretch>
      </xdr:blipFill>
      <xdr:spPr bwMode="auto">
        <a:xfrm>
          <a:off x="5448300" y="0"/>
          <a:ext cx="1095375" cy="733425"/>
        </a:xfrm>
        <a:prstGeom prst="rect">
          <a:avLst/>
        </a:prstGeom>
        <a:noFill/>
        <a:ln>
          <a:noFill/>
          <a:prstDash val="solid"/>
        </a:ln>
      </xdr:spPr>
    </xdr:pic>
    <xdr:clientData/>
  </xdr:oneCellAnchor>
  <xdr:twoCellAnchor>
    <xdr:from>
      <xdr:col>0</xdr:col>
      <xdr:colOff>9526</xdr:colOff>
      <xdr:row>6</xdr:row>
      <xdr:rowOff>47625</xdr:rowOff>
    </xdr:from>
    <xdr:to>
      <xdr:col>1</xdr:col>
      <xdr:colOff>285751</xdr:colOff>
      <xdr:row>13</xdr:row>
      <xdr:rowOff>19050</xdr:rowOff>
    </xdr:to>
    <xdr:graphicFrame macro="">
      <xdr:nvGraphicFramePr>
        <xdr:cNvPr id="6" name="Chart 3353">
          <a:extLst>
            <a:ext uri="{FF2B5EF4-FFF2-40B4-BE49-F238E27FC236}">
              <a16:creationId xmlns:a16="http://schemas.microsoft.com/office/drawing/2014/main" id="{A39CF0C0-7081-4C76-A55C-04B632392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209551</xdr:colOff>
      <xdr:row>45</xdr:row>
      <xdr:rowOff>19051</xdr:rowOff>
    </xdr:from>
    <xdr:to>
      <xdr:col>13</xdr:col>
      <xdr:colOff>647970</xdr:colOff>
      <xdr:row>65</xdr:row>
      <xdr:rowOff>47894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3C78D755-2C9B-418A-8744-0CA61D8371F5}"/>
            </a:ext>
          </a:extLst>
        </xdr:cNvPr>
        <xdr:cNvGrpSpPr/>
      </xdr:nvGrpSpPr>
      <xdr:grpSpPr>
        <a:xfrm>
          <a:off x="9067801" y="9715501"/>
          <a:ext cx="1943369" cy="4029343"/>
          <a:chOff x="9096376" y="10553701"/>
          <a:chExt cx="1943369" cy="4029343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48DDAC45-8E53-424F-A411-CABE716763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9105900" y="12658725"/>
            <a:ext cx="1933845" cy="1924319"/>
          </a:xfrm>
          <a:prstGeom prst="rect">
            <a:avLst/>
          </a:prstGeom>
        </xdr:spPr>
      </xdr:pic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CCD43209-05A8-46E2-A4BD-BE3BE41B261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r="15748"/>
          <a:stretch/>
        </xdr:blipFill>
        <xdr:spPr>
          <a:xfrm>
            <a:off x="9096376" y="10553701"/>
            <a:ext cx="1924049" cy="209550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66677</xdr:colOff>
      <xdr:row>45</xdr:row>
      <xdr:rowOff>38101</xdr:rowOff>
    </xdr:from>
    <xdr:to>
      <xdr:col>2</xdr:col>
      <xdr:colOff>653929</xdr:colOff>
      <xdr:row>62</xdr:row>
      <xdr:rowOff>38100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C655C0C-C234-4C40-8938-4F4F0CAE8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6677" y="9734551"/>
          <a:ext cx="2454152" cy="3400424"/>
        </a:xfrm>
        <a:prstGeom prst="rect">
          <a:avLst/>
        </a:prstGeom>
      </xdr:spPr>
    </xdr:pic>
    <xdr:clientData/>
  </xdr:twoCellAnchor>
  <xdr:twoCellAnchor>
    <xdr:from>
      <xdr:col>0</xdr:col>
      <xdr:colOff>138112</xdr:colOff>
      <xdr:row>66</xdr:row>
      <xdr:rowOff>28574</xdr:rowOff>
    </xdr:from>
    <xdr:to>
      <xdr:col>6</xdr:col>
      <xdr:colOff>495300</xdr:colOff>
      <xdr:row>83</xdr:row>
      <xdr:rowOff>9524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E18E3E19-DC0C-410C-8C94-DAB3B336CD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84"/>
  <sheetViews>
    <sheetView tabSelected="1" zoomScaleNormal="100" workbookViewId="0">
      <selection activeCell="H21" sqref="H21"/>
    </sheetView>
  </sheetViews>
  <sheetFormatPr defaultColWidth="11" defaultRowHeight="15.75"/>
  <cols>
    <col min="1" max="1" width="15.625" customWidth="1"/>
    <col min="2" max="2" width="8.875" customWidth="1"/>
    <col min="3" max="3" width="9.25" customWidth="1"/>
    <col min="4" max="4" width="9.5" customWidth="1"/>
    <col min="5" max="5" width="9.375" customWidth="1"/>
    <col min="6" max="6" width="9" customWidth="1"/>
    <col min="7" max="7" width="9.625" customWidth="1"/>
    <col min="8" max="8" width="15.25" customWidth="1"/>
    <col min="9" max="9" width="9.75" customWidth="1"/>
    <col min="10" max="11" width="10" customWidth="1"/>
    <col min="12" max="12" width="10.125" customWidth="1"/>
    <col min="13" max="13" width="9.625" customWidth="1"/>
    <col min="14" max="14" width="9.75" customWidth="1"/>
    <col min="15" max="15" width="9" customWidth="1"/>
    <col min="16" max="16" width="8.375" customWidth="1"/>
    <col min="17" max="17" width="8.625" customWidth="1"/>
    <col min="18" max="19" width="8.25" customWidth="1"/>
    <col min="20" max="20" width="8" customWidth="1"/>
    <col min="21" max="21" width="8.25" customWidth="1"/>
    <col min="22" max="22" width="8.625" customWidth="1"/>
    <col min="23" max="25" width="8.25" customWidth="1"/>
    <col min="26" max="26" width="8.125" customWidth="1"/>
    <col min="27" max="27" width="7.375" customWidth="1"/>
  </cols>
  <sheetData>
    <row r="1" spans="1:24" ht="28.5" customHeight="1" thickBot="1">
      <c r="A1" s="15" t="s">
        <v>0</v>
      </c>
      <c r="B1" s="135" t="s">
        <v>172</v>
      </c>
      <c r="C1" s="135"/>
      <c r="D1" s="135"/>
      <c r="E1" s="135"/>
      <c r="F1" s="135"/>
      <c r="G1" s="136"/>
      <c r="H1" s="15" t="s">
        <v>0</v>
      </c>
      <c r="I1" s="135" t="str">
        <f>B1</f>
        <v>Pipeline Code Check Tool - PD8010</v>
      </c>
      <c r="J1" s="135"/>
      <c r="K1" s="135"/>
      <c r="L1" s="135"/>
      <c r="M1" s="135"/>
      <c r="N1" s="136"/>
    </row>
    <row r="2" spans="1:24" ht="30" customHeight="1" thickBot="1">
      <c r="A2" s="16" t="s">
        <v>0</v>
      </c>
      <c r="B2" s="131"/>
      <c r="C2" s="131"/>
      <c r="D2" s="131"/>
      <c r="E2" s="132"/>
      <c r="F2" s="5" t="s">
        <v>1</v>
      </c>
      <c r="G2" s="6">
        <f ca="1">TODAY()</f>
        <v>44595</v>
      </c>
      <c r="H2" s="16" t="s">
        <v>0</v>
      </c>
      <c r="I2" s="131"/>
      <c r="J2" s="131"/>
      <c r="K2" s="131"/>
      <c r="L2" s="132"/>
      <c r="M2" s="5" t="s">
        <v>1</v>
      </c>
      <c r="N2" s="6">
        <f ca="1">TODAY()</f>
        <v>44595</v>
      </c>
    </row>
    <row r="3" spans="1:24">
      <c r="A3" s="126"/>
      <c r="B3" s="2"/>
      <c r="C3" s="2"/>
      <c r="D3" s="2"/>
      <c r="E3" s="2"/>
      <c r="F3" s="2"/>
      <c r="G3" s="119"/>
      <c r="H3" s="1"/>
      <c r="I3" s="119"/>
      <c r="J3" s="119"/>
      <c r="K3" s="119"/>
      <c r="L3" s="119"/>
      <c r="M3" s="119"/>
      <c r="N3" s="120"/>
      <c r="P3" s="22" t="s">
        <v>4</v>
      </c>
      <c r="Q3" s="23" t="s">
        <v>5</v>
      </c>
      <c r="R3" s="22" t="s">
        <v>6</v>
      </c>
      <c r="S3" s="23" t="s">
        <v>7</v>
      </c>
      <c r="T3" s="22" t="s">
        <v>8</v>
      </c>
      <c r="U3" s="23">
        <f>C10*0.5</f>
        <v>109.55</v>
      </c>
      <c r="V3" s="22" t="s">
        <v>9</v>
      </c>
      <c r="W3" s="23">
        <f>(C10-2*D10)/2</f>
        <v>95.25</v>
      </c>
      <c r="X3" s="49"/>
    </row>
    <row r="4" spans="1:24">
      <c r="B4" s="18"/>
      <c r="C4" s="130" t="s">
        <v>161</v>
      </c>
      <c r="D4" s="18"/>
      <c r="F4" s="18"/>
      <c r="G4" s="18"/>
      <c r="H4" s="17"/>
      <c r="I4" s="43" t="s">
        <v>19</v>
      </c>
      <c r="J4" s="121" t="s">
        <v>38</v>
      </c>
      <c r="P4" s="24">
        <v>0</v>
      </c>
      <c r="Q4" s="24">
        <f t="shared" ref="Q4:Q20" si="0">RADIANS(P4)</f>
        <v>0</v>
      </c>
      <c r="R4" s="24">
        <f t="shared" ref="R4:R20" si="1">SIN(Q4)</f>
        <v>0</v>
      </c>
      <c r="S4" s="24">
        <f t="shared" ref="S4:S20" si="2">COS(Q4)</f>
        <v>1</v>
      </c>
      <c r="T4" s="26">
        <f>$U$3*R4</f>
        <v>0</v>
      </c>
      <c r="U4" s="27">
        <f>$U$3*S4</f>
        <v>109.55</v>
      </c>
      <c r="V4" s="26">
        <f>$W$3*R4</f>
        <v>0</v>
      </c>
      <c r="W4" s="27">
        <f>$W$3*S4</f>
        <v>95.25</v>
      </c>
      <c r="X4" s="49"/>
    </row>
    <row r="5" spans="1:24">
      <c r="A5" s="127" t="s">
        <v>13</v>
      </c>
      <c r="C5" s="43" t="s">
        <v>41</v>
      </c>
      <c r="D5" s="43" t="s">
        <v>25</v>
      </c>
      <c r="E5" s="43" t="s">
        <v>37</v>
      </c>
      <c r="F5" s="43" t="s">
        <v>36</v>
      </c>
      <c r="H5" s="17"/>
      <c r="I5" s="44" t="s">
        <v>20</v>
      </c>
      <c r="J5" s="122" t="s">
        <v>40</v>
      </c>
      <c r="P5" s="24">
        <v>22.5</v>
      </c>
      <c r="Q5" s="24">
        <f t="shared" si="0"/>
        <v>0.39269908169872414</v>
      </c>
      <c r="R5" s="24">
        <f>SIN(Q5)</f>
        <v>0.38268343236508978</v>
      </c>
      <c r="S5" s="24">
        <f t="shared" si="2"/>
        <v>0.92387953251128674</v>
      </c>
      <c r="T5" s="28">
        <f t="shared" ref="T5:T20" si="3">$U$3*R5</f>
        <v>41.922970015595581</v>
      </c>
      <c r="U5" s="29">
        <f t="shared" ref="U5:U20" si="4">$U$3*S5</f>
        <v>101.21100278661146</v>
      </c>
      <c r="V5" s="28">
        <f t="shared" ref="V5:W20" si="5">$W$3*R5</f>
        <v>36.450596932774801</v>
      </c>
      <c r="W5" s="29">
        <f t="shared" si="5"/>
        <v>87.999525471700068</v>
      </c>
      <c r="X5" s="49"/>
    </row>
    <row r="6" spans="1:24">
      <c r="A6" s="128" t="s">
        <v>17</v>
      </c>
      <c r="C6" s="44" t="s">
        <v>46</v>
      </c>
      <c r="D6" s="45" t="s">
        <v>33</v>
      </c>
      <c r="E6" s="44" t="s">
        <v>26</v>
      </c>
      <c r="F6" s="45" t="s">
        <v>31</v>
      </c>
      <c r="H6" s="17"/>
      <c r="K6" s="18"/>
      <c r="L6" s="18"/>
      <c r="M6" s="18"/>
      <c r="N6" s="19"/>
      <c r="P6" s="24">
        <f>$P$5+P5</f>
        <v>45</v>
      </c>
      <c r="Q6" s="24">
        <f t="shared" si="0"/>
        <v>0.78539816339744828</v>
      </c>
      <c r="R6" s="24">
        <f t="shared" si="1"/>
        <v>0.70710678118654746</v>
      </c>
      <c r="S6" s="24">
        <f t="shared" si="2"/>
        <v>0.70710678118654757</v>
      </c>
      <c r="T6" s="28">
        <f t="shared" si="3"/>
        <v>77.463547878986276</v>
      </c>
      <c r="U6" s="29">
        <f t="shared" si="4"/>
        <v>77.46354787898629</v>
      </c>
      <c r="V6" s="28">
        <f t="shared" si="5"/>
        <v>67.351920908018641</v>
      </c>
      <c r="W6" s="29">
        <f t="shared" si="5"/>
        <v>67.351920908018656</v>
      </c>
      <c r="X6" s="49"/>
    </row>
    <row r="7" spans="1:24">
      <c r="A7" s="17"/>
      <c r="B7" s="123"/>
      <c r="H7" s="17"/>
      <c r="I7" s="116" t="s">
        <v>147</v>
      </c>
      <c r="J7" s="18"/>
      <c r="K7" s="18"/>
      <c r="L7" s="18"/>
      <c r="M7" s="18"/>
      <c r="N7" s="19"/>
      <c r="P7" s="24">
        <f t="shared" ref="P7:P20" si="6">$P$5+P6</f>
        <v>67.5</v>
      </c>
      <c r="Q7" s="24">
        <f t="shared" si="0"/>
        <v>1.1780972450961724</v>
      </c>
      <c r="R7" s="24">
        <f t="shared" si="1"/>
        <v>0.92387953251128674</v>
      </c>
      <c r="S7" s="24">
        <f t="shared" si="2"/>
        <v>0.38268343236508984</v>
      </c>
      <c r="T7" s="28">
        <f t="shared" si="3"/>
        <v>101.21100278661146</v>
      </c>
      <c r="U7" s="29">
        <f t="shared" si="4"/>
        <v>41.922970015595588</v>
      </c>
      <c r="V7" s="28">
        <f t="shared" si="5"/>
        <v>87.999525471700068</v>
      </c>
      <c r="W7" s="29">
        <f t="shared" si="5"/>
        <v>36.450596932774808</v>
      </c>
      <c r="X7" s="49"/>
    </row>
    <row r="8" spans="1:24">
      <c r="A8" s="17"/>
      <c r="B8" s="18"/>
      <c r="C8" s="130" t="s">
        <v>162</v>
      </c>
      <c r="H8" s="17"/>
      <c r="I8" s="102" t="s">
        <v>109</v>
      </c>
      <c r="K8" s="102" t="s">
        <v>106</v>
      </c>
      <c r="L8" s="102" t="s">
        <v>107</v>
      </c>
      <c r="N8" s="19"/>
      <c r="P8" s="24">
        <f t="shared" si="6"/>
        <v>90</v>
      </c>
      <c r="Q8" s="24">
        <f t="shared" si="0"/>
        <v>1.5707963267948966</v>
      </c>
      <c r="R8" s="24">
        <f t="shared" si="1"/>
        <v>1</v>
      </c>
      <c r="S8" s="24">
        <f t="shared" si="2"/>
        <v>6.1257422745431001E-17</v>
      </c>
      <c r="T8" s="28">
        <f t="shared" si="3"/>
        <v>109.55</v>
      </c>
      <c r="U8" s="29">
        <f t="shared" si="4"/>
        <v>6.7107506617619661E-15</v>
      </c>
      <c r="V8" s="28">
        <f t="shared" si="5"/>
        <v>95.25</v>
      </c>
      <c r="W8" s="29">
        <f t="shared" si="5"/>
        <v>5.8347695165023028E-15</v>
      </c>
      <c r="X8" s="49"/>
    </row>
    <row r="9" spans="1:24">
      <c r="A9" s="17"/>
      <c r="B9" s="18"/>
      <c r="C9" s="102" t="s">
        <v>103</v>
      </c>
      <c r="D9" s="102" t="s">
        <v>104</v>
      </c>
      <c r="E9" s="102" t="s">
        <v>105</v>
      </c>
      <c r="F9" s="102" t="s">
        <v>108</v>
      </c>
      <c r="H9" s="17"/>
      <c r="I9" s="104">
        <v>0</v>
      </c>
      <c r="K9" s="104">
        <v>2.5000000000000001E-2</v>
      </c>
      <c r="L9" s="104">
        <v>0.08</v>
      </c>
      <c r="N9" s="19"/>
      <c r="P9" s="24">
        <f t="shared" si="6"/>
        <v>112.5</v>
      </c>
      <c r="Q9" s="24">
        <f t="shared" si="0"/>
        <v>1.9634954084936207</v>
      </c>
      <c r="R9" s="24">
        <f t="shared" si="1"/>
        <v>0.92387953251128674</v>
      </c>
      <c r="S9" s="24">
        <f t="shared" si="2"/>
        <v>-0.38268343236508973</v>
      </c>
      <c r="T9" s="28">
        <f t="shared" si="3"/>
        <v>101.21100278661146</v>
      </c>
      <c r="U9" s="29">
        <f t="shared" si="4"/>
        <v>-41.922970015595581</v>
      </c>
      <c r="V9" s="28">
        <f t="shared" si="5"/>
        <v>87.999525471700068</v>
      </c>
      <c r="W9" s="29">
        <f t="shared" si="5"/>
        <v>-36.450596932774793</v>
      </c>
      <c r="X9" s="49"/>
    </row>
    <row r="10" spans="1:24">
      <c r="A10" s="17"/>
      <c r="B10" s="18"/>
      <c r="C10" s="104">
        <v>219.1</v>
      </c>
      <c r="D10" s="104">
        <v>14.3</v>
      </c>
      <c r="E10" s="104">
        <v>3</v>
      </c>
      <c r="F10" s="104">
        <v>1</v>
      </c>
      <c r="H10" s="17"/>
      <c r="J10" s="18"/>
      <c r="K10" s="42"/>
      <c r="L10" s="18"/>
      <c r="M10" s="18"/>
      <c r="N10" s="19"/>
      <c r="P10" s="24">
        <f t="shared" si="6"/>
        <v>135</v>
      </c>
      <c r="Q10" s="24">
        <f t="shared" si="0"/>
        <v>2.3561944901923448</v>
      </c>
      <c r="R10" s="24">
        <f t="shared" si="1"/>
        <v>0.70710678118654757</v>
      </c>
      <c r="S10" s="24">
        <f t="shared" si="2"/>
        <v>-0.70710678118654746</v>
      </c>
      <c r="T10" s="28">
        <f t="shared" si="3"/>
        <v>77.46354787898629</v>
      </c>
      <c r="U10" s="29">
        <f t="shared" si="4"/>
        <v>-77.463547878986276</v>
      </c>
      <c r="V10" s="28">
        <f t="shared" si="5"/>
        <v>67.351920908018656</v>
      </c>
      <c r="W10" s="29">
        <f t="shared" si="5"/>
        <v>-67.351920908018641</v>
      </c>
      <c r="X10" s="49"/>
    </row>
    <row r="11" spans="1:24">
      <c r="A11" s="17"/>
      <c r="B11" s="18"/>
      <c r="G11" s="18"/>
      <c r="H11" s="17"/>
      <c r="J11" s="18"/>
      <c r="K11" s="18"/>
      <c r="N11" s="19"/>
      <c r="P11" s="24">
        <f t="shared" si="6"/>
        <v>157.5</v>
      </c>
      <c r="Q11" s="24">
        <f t="shared" si="0"/>
        <v>2.748893571891069</v>
      </c>
      <c r="R11" s="24">
        <f t="shared" si="1"/>
        <v>0.38268343236508989</v>
      </c>
      <c r="S11" s="24">
        <f t="shared" si="2"/>
        <v>-0.92387953251128674</v>
      </c>
      <c r="T11" s="28">
        <f t="shared" si="3"/>
        <v>41.922970015595595</v>
      </c>
      <c r="U11" s="29">
        <f t="shared" si="4"/>
        <v>-101.21100278661146</v>
      </c>
      <c r="V11" s="28">
        <f t="shared" si="5"/>
        <v>36.450596932774815</v>
      </c>
      <c r="W11" s="29">
        <f t="shared" si="5"/>
        <v>-87.999525471700068</v>
      </c>
      <c r="X11" s="49"/>
    </row>
    <row r="12" spans="1:24">
      <c r="A12" s="17"/>
      <c r="B12" s="18"/>
      <c r="C12" s="130" t="s">
        <v>2</v>
      </c>
      <c r="G12" s="18"/>
      <c r="H12" s="17"/>
      <c r="J12" s="18"/>
      <c r="K12" s="18"/>
      <c r="N12" s="19"/>
      <c r="P12" s="24">
        <f t="shared" si="6"/>
        <v>180</v>
      </c>
      <c r="Q12" s="24">
        <f t="shared" si="0"/>
        <v>3.1415926535897931</v>
      </c>
      <c r="R12" s="24">
        <f t="shared" si="1"/>
        <v>1.22514845490862E-16</v>
      </c>
      <c r="S12" s="24">
        <f t="shared" si="2"/>
        <v>-1</v>
      </c>
      <c r="T12" s="28">
        <f t="shared" si="3"/>
        <v>1.3421501323523932E-14</v>
      </c>
      <c r="U12" s="29">
        <f t="shared" si="4"/>
        <v>-109.55</v>
      </c>
      <c r="V12" s="28">
        <f t="shared" si="5"/>
        <v>1.1669539033004606E-14</v>
      </c>
      <c r="W12" s="29">
        <f t="shared" si="5"/>
        <v>-95.25</v>
      </c>
      <c r="X12" s="49"/>
    </row>
    <row r="13" spans="1:24">
      <c r="A13" s="137" t="s">
        <v>169</v>
      </c>
      <c r="B13" s="18"/>
      <c r="C13" s="103" t="s">
        <v>170</v>
      </c>
      <c r="D13" s="102" t="s">
        <v>160</v>
      </c>
      <c r="E13" s="103" t="s">
        <v>173</v>
      </c>
      <c r="F13" s="103" t="s">
        <v>110</v>
      </c>
      <c r="G13" s="79"/>
      <c r="H13" s="17"/>
      <c r="I13" s="18"/>
      <c r="J13" s="18"/>
      <c r="K13" s="18"/>
      <c r="N13" s="19"/>
      <c r="P13" s="24">
        <f t="shared" si="6"/>
        <v>202.5</v>
      </c>
      <c r="Q13" s="24">
        <f t="shared" si="0"/>
        <v>3.5342917352885173</v>
      </c>
      <c r="R13" s="24">
        <f t="shared" si="1"/>
        <v>-0.38268343236508967</v>
      </c>
      <c r="S13" s="24">
        <f t="shared" si="2"/>
        <v>-0.92387953251128685</v>
      </c>
      <c r="T13" s="28">
        <f t="shared" si="3"/>
        <v>-41.922970015595574</v>
      </c>
      <c r="U13" s="29">
        <f t="shared" si="4"/>
        <v>-101.21100278661147</v>
      </c>
      <c r="V13" s="28">
        <f t="shared" si="5"/>
        <v>-36.450596932774793</v>
      </c>
      <c r="W13" s="29">
        <f t="shared" si="5"/>
        <v>-87.999525471700068</v>
      </c>
      <c r="X13" s="49"/>
    </row>
    <row r="14" spans="1:24">
      <c r="A14" s="17"/>
      <c r="B14" s="18"/>
      <c r="C14" s="105"/>
      <c r="D14" s="104">
        <v>170</v>
      </c>
      <c r="E14" s="105">
        <f>IF((OR(I16="",I16=0,I16&lt;0)),D14*1.2,I16)</f>
        <v>485</v>
      </c>
      <c r="F14" s="106">
        <f>IF((OR(J16="",J16=0,J16&lt;0)),205000,J16)</f>
        <v>205000</v>
      </c>
      <c r="H14" s="17"/>
      <c r="I14" s="116" t="s">
        <v>146</v>
      </c>
      <c r="J14" s="115"/>
      <c r="K14" s="18"/>
      <c r="N14" s="19"/>
      <c r="P14" s="24">
        <f t="shared" si="6"/>
        <v>225</v>
      </c>
      <c r="Q14" s="24">
        <f t="shared" si="0"/>
        <v>3.9269908169872414</v>
      </c>
      <c r="R14" s="24">
        <f t="shared" si="1"/>
        <v>-0.70710678118654746</v>
      </c>
      <c r="S14" s="24">
        <f t="shared" si="2"/>
        <v>-0.70710678118654768</v>
      </c>
      <c r="T14" s="28">
        <f t="shared" si="3"/>
        <v>-77.463547878986276</v>
      </c>
      <c r="U14" s="29">
        <f t="shared" si="4"/>
        <v>-77.46354787898629</v>
      </c>
      <c r="V14" s="28">
        <f t="shared" si="5"/>
        <v>-67.351920908018641</v>
      </c>
      <c r="W14" s="29">
        <f t="shared" si="5"/>
        <v>-67.35192090801867</v>
      </c>
      <c r="X14" s="49"/>
    </row>
    <row r="15" spans="1:24">
      <c r="A15" s="17"/>
      <c r="B15" s="18"/>
      <c r="C15" s="79"/>
      <c r="D15" s="18"/>
      <c r="H15" s="17"/>
      <c r="I15" s="102" t="s">
        <v>168</v>
      </c>
      <c r="J15" s="102" t="s">
        <v>110</v>
      </c>
      <c r="K15" s="102" t="s">
        <v>113</v>
      </c>
      <c r="L15" s="10" t="s">
        <v>3</v>
      </c>
      <c r="M15" s="11" t="s">
        <v>111</v>
      </c>
      <c r="N15" s="19"/>
      <c r="P15" s="24">
        <f t="shared" si="6"/>
        <v>247.5</v>
      </c>
      <c r="Q15" s="24">
        <f t="shared" si="0"/>
        <v>4.319689898685966</v>
      </c>
      <c r="R15" s="24">
        <f t="shared" si="1"/>
        <v>-0.92387953251128685</v>
      </c>
      <c r="S15" s="24">
        <f t="shared" si="2"/>
        <v>-0.3826834323650895</v>
      </c>
      <c r="T15" s="28">
        <f t="shared" si="3"/>
        <v>-101.21100278661147</v>
      </c>
      <c r="U15" s="29">
        <f t="shared" si="4"/>
        <v>-41.922970015595553</v>
      </c>
      <c r="V15" s="28">
        <f t="shared" si="5"/>
        <v>-87.999525471700068</v>
      </c>
      <c r="W15" s="29">
        <f t="shared" si="5"/>
        <v>-36.450596932774772</v>
      </c>
      <c r="X15" s="49"/>
    </row>
    <row r="16" spans="1:24">
      <c r="A16" s="17"/>
      <c r="B16" s="18"/>
      <c r="C16" s="130" t="s">
        <v>163</v>
      </c>
      <c r="E16" s="79"/>
      <c r="G16" s="18"/>
      <c r="H16" s="17"/>
      <c r="I16" s="12">
        <v>485</v>
      </c>
      <c r="J16" s="13">
        <v>205000</v>
      </c>
      <c r="K16" s="12">
        <v>77200</v>
      </c>
      <c r="L16" s="12">
        <v>0.3</v>
      </c>
      <c r="M16" s="12">
        <v>7850</v>
      </c>
      <c r="N16" s="19"/>
      <c r="P16" s="24">
        <f t="shared" si="6"/>
        <v>270</v>
      </c>
      <c r="Q16" s="24">
        <f t="shared" si="0"/>
        <v>4.7123889803846897</v>
      </c>
      <c r="R16" s="24">
        <f t="shared" si="1"/>
        <v>-1</v>
      </c>
      <c r="S16" s="24">
        <f t="shared" si="2"/>
        <v>-1.83772268236293E-16</v>
      </c>
      <c r="T16" s="28">
        <f t="shared" si="3"/>
        <v>-109.55</v>
      </c>
      <c r="U16" s="29">
        <f t="shared" si="4"/>
        <v>-2.0132251985285898E-14</v>
      </c>
      <c r="V16" s="28">
        <f t="shared" si="5"/>
        <v>-95.25</v>
      </c>
      <c r="W16" s="29">
        <f t="shared" si="5"/>
        <v>-1.7504308549506908E-14</v>
      </c>
      <c r="X16" s="49"/>
    </row>
    <row r="17" spans="1:24">
      <c r="A17" s="17"/>
      <c r="B17" s="18"/>
      <c r="C17" s="102" t="s">
        <v>12</v>
      </c>
      <c r="D17" s="102" t="s">
        <v>133</v>
      </c>
      <c r="E17" s="102" t="str">
        <f>IF(D6="Offshore","Hydrostatic","")</f>
        <v>Hydrostatic</v>
      </c>
      <c r="F17" s="102" t="s">
        <v>167</v>
      </c>
      <c r="G17" s="18"/>
      <c r="H17" s="17"/>
      <c r="I17" s="18"/>
      <c r="J17" s="18"/>
      <c r="K17" s="18"/>
      <c r="L17" s="18"/>
      <c r="M17" s="18"/>
      <c r="N17" s="19"/>
      <c r="P17" s="24">
        <f t="shared" si="6"/>
        <v>292.5</v>
      </c>
      <c r="Q17" s="24">
        <f t="shared" si="0"/>
        <v>5.1050880620834143</v>
      </c>
      <c r="R17" s="24">
        <f t="shared" si="1"/>
        <v>-0.92387953251128663</v>
      </c>
      <c r="S17" s="24">
        <f t="shared" si="2"/>
        <v>0.38268343236509</v>
      </c>
      <c r="T17" s="28">
        <f t="shared" si="3"/>
        <v>-101.21100278661145</v>
      </c>
      <c r="U17" s="29">
        <f t="shared" si="4"/>
        <v>41.92297001559561</v>
      </c>
      <c r="V17" s="28">
        <f t="shared" si="5"/>
        <v>-87.999525471700053</v>
      </c>
      <c r="W17" s="29">
        <f t="shared" si="5"/>
        <v>36.450596932774822</v>
      </c>
      <c r="X17" s="49"/>
    </row>
    <row r="18" spans="1:24">
      <c r="A18" s="17"/>
      <c r="B18" s="18"/>
      <c r="C18" s="104">
        <v>100</v>
      </c>
      <c r="D18" s="104">
        <v>0</v>
      </c>
      <c r="E18" s="104" t="s">
        <v>31</v>
      </c>
      <c r="F18" s="104">
        <v>50</v>
      </c>
      <c r="G18" s="18"/>
      <c r="H18" s="17"/>
      <c r="I18" s="116" t="s">
        <v>114</v>
      </c>
      <c r="J18" s="18"/>
      <c r="K18" s="18"/>
      <c r="L18" s="18"/>
      <c r="M18" s="18"/>
      <c r="N18" s="19"/>
      <c r="P18" s="24">
        <f t="shared" si="6"/>
        <v>315</v>
      </c>
      <c r="Q18" s="24">
        <f t="shared" si="0"/>
        <v>5.497787143782138</v>
      </c>
      <c r="R18" s="24">
        <f t="shared" si="1"/>
        <v>-0.70710678118654768</v>
      </c>
      <c r="S18" s="24">
        <f t="shared" si="2"/>
        <v>0.70710678118654735</v>
      </c>
      <c r="T18" s="28">
        <f t="shared" si="3"/>
        <v>-77.46354787898629</v>
      </c>
      <c r="U18" s="29">
        <f t="shared" si="4"/>
        <v>77.463547878986262</v>
      </c>
      <c r="V18" s="28">
        <f t="shared" si="5"/>
        <v>-67.35192090801867</v>
      </c>
      <c r="W18" s="29">
        <f t="shared" si="5"/>
        <v>67.351920908018641</v>
      </c>
      <c r="X18" s="49"/>
    </row>
    <row r="19" spans="1:24">
      <c r="G19" s="18"/>
      <c r="H19" s="17"/>
      <c r="I19" s="102" t="s">
        <v>138</v>
      </c>
      <c r="J19" s="102" t="s">
        <v>24</v>
      </c>
      <c r="K19" s="102" t="s">
        <v>139</v>
      </c>
      <c r="L19" s="18"/>
      <c r="M19" s="18"/>
      <c r="N19" s="19"/>
      <c r="P19" s="24">
        <f t="shared" si="6"/>
        <v>337.5</v>
      </c>
      <c r="Q19" s="24">
        <f t="shared" si="0"/>
        <v>5.8904862254808625</v>
      </c>
      <c r="R19" s="24">
        <f t="shared" si="1"/>
        <v>-0.38268343236508956</v>
      </c>
      <c r="S19" s="24">
        <f t="shared" si="2"/>
        <v>0.92387953251128685</v>
      </c>
      <c r="T19" s="28">
        <f t="shared" si="3"/>
        <v>-41.92297001559556</v>
      </c>
      <c r="U19" s="29">
        <f t="shared" si="4"/>
        <v>101.21100278661147</v>
      </c>
      <c r="V19" s="28">
        <f t="shared" si="5"/>
        <v>-36.450596932774779</v>
      </c>
      <c r="W19" s="29">
        <f t="shared" si="5"/>
        <v>87.999525471700068</v>
      </c>
      <c r="X19" s="49"/>
    </row>
    <row r="20" spans="1:24">
      <c r="C20" s="130" t="s">
        <v>165</v>
      </c>
      <c r="E20" s="18"/>
      <c r="G20" s="18"/>
      <c r="H20" s="17"/>
      <c r="I20" s="12"/>
      <c r="J20" s="12"/>
      <c r="K20" s="12"/>
      <c r="L20" s="18"/>
      <c r="M20" s="18"/>
      <c r="N20" s="19"/>
      <c r="P20" s="25">
        <f t="shared" si="6"/>
        <v>360</v>
      </c>
      <c r="Q20" s="25">
        <f t="shared" si="0"/>
        <v>6.2831853071795862</v>
      </c>
      <c r="R20" s="25">
        <f t="shared" si="1"/>
        <v>-2.45029690981724E-16</v>
      </c>
      <c r="S20" s="25">
        <f t="shared" si="2"/>
        <v>1</v>
      </c>
      <c r="T20" s="30">
        <f t="shared" si="3"/>
        <v>-2.6843002647047864E-14</v>
      </c>
      <c r="U20" s="31">
        <f t="shared" si="4"/>
        <v>109.55</v>
      </c>
      <c r="V20" s="30">
        <f t="shared" si="5"/>
        <v>-2.3339078066009211E-14</v>
      </c>
      <c r="W20" s="31">
        <f t="shared" si="5"/>
        <v>95.25</v>
      </c>
      <c r="X20" s="49"/>
    </row>
    <row r="21" spans="1:24">
      <c r="C21" s="102" t="s">
        <v>151</v>
      </c>
      <c r="E21" s="102" t="s">
        <v>82</v>
      </c>
      <c r="F21" s="18"/>
      <c r="G21" s="18"/>
      <c r="H21" s="17"/>
      <c r="I21" s="18"/>
      <c r="J21" s="18"/>
      <c r="K21" s="18"/>
      <c r="L21" s="18"/>
      <c r="M21" s="18"/>
      <c r="N21" s="19"/>
    </row>
    <row r="22" spans="1:24">
      <c r="G22" s="18"/>
      <c r="H22" s="17"/>
      <c r="I22" s="116" t="s">
        <v>128</v>
      </c>
      <c r="J22" s="18"/>
      <c r="K22" s="18"/>
      <c r="L22" s="18"/>
      <c r="M22" s="18"/>
      <c r="N22" s="19"/>
      <c r="P22" s="33" t="s">
        <v>10</v>
      </c>
      <c r="Q22" s="33" t="s">
        <v>11</v>
      </c>
    </row>
    <row r="23" spans="1:24">
      <c r="G23" s="124"/>
      <c r="H23" s="17"/>
      <c r="J23" s="102" t="s">
        <v>134</v>
      </c>
      <c r="K23" s="102" t="s">
        <v>129</v>
      </c>
      <c r="L23" s="102" t="s">
        <v>130</v>
      </c>
      <c r="M23" s="10" t="s">
        <v>131</v>
      </c>
      <c r="N23" s="19"/>
      <c r="P23" s="34">
        <f>$U$3</f>
        <v>109.55</v>
      </c>
      <c r="Q23" s="34">
        <v>0</v>
      </c>
      <c r="R23" s="34">
        <f>$U$3</f>
        <v>109.55</v>
      </c>
      <c r="S23" s="34">
        <v>0</v>
      </c>
      <c r="T23" s="34">
        <f>-$U$3</f>
        <v>-109.55</v>
      </c>
      <c r="U23" s="34">
        <v>0</v>
      </c>
      <c r="V23" s="34">
        <f>$U$3</f>
        <v>109.55</v>
      </c>
      <c r="W23" s="34">
        <f>$U$3*1.1</f>
        <v>120.50500000000001</v>
      </c>
      <c r="X23" s="50"/>
    </row>
    <row r="24" spans="1:24">
      <c r="G24" s="18"/>
      <c r="H24" s="17"/>
      <c r="J24" s="12"/>
      <c r="K24" s="12"/>
      <c r="L24" s="12"/>
      <c r="M24" s="12"/>
      <c r="N24" s="19"/>
      <c r="P24" s="35">
        <f>-$U$3</f>
        <v>-109.55</v>
      </c>
      <c r="Q24" s="35">
        <v>0</v>
      </c>
      <c r="R24" s="35">
        <f>$U$3</f>
        <v>109.55</v>
      </c>
      <c r="S24" s="35">
        <f>$U$3*1.1</f>
        <v>120.50500000000001</v>
      </c>
      <c r="T24" s="35">
        <f>-$U$3</f>
        <v>-109.55</v>
      </c>
      <c r="U24" s="35">
        <f>$U$3*1.1</f>
        <v>120.50500000000001</v>
      </c>
      <c r="V24" s="35">
        <f>-$U$3</f>
        <v>-109.55</v>
      </c>
      <c r="W24" s="35">
        <f>$U$3*1.1</f>
        <v>120.50500000000001</v>
      </c>
      <c r="X24" s="50"/>
    </row>
    <row r="25" spans="1:24">
      <c r="G25" s="18"/>
      <c r="H25" s="17"/>
      <c r="I25" s="18"/>
      <c r="J25" s="18"/>
      <c r="K25" s="18"/>
      <c r="L25" s="18"/>
      <c r="M25" s="18"/>
      <c r="N25" s="19"/>
    </row>
    <row r="26" spans="1:24">
      <c r="A26" s="101" t="s">
        <v>152</v>
      </c>
      <c r="B26" s="124" t="s">
        <v>154</v>
      </c>
      <c r="C26" s="124" t="s">
        <v>153</v>
      </c>
      <c r="D26" s="124" t="s">
        <v>132</v>
      </c>
      <c r="E26" s="125" t="s">
        <v>159</v>
      </c>
      <c r="F26" s="125" t="s">
        <v>158</v>
      </c>
      <c r="G26" s="18"/>
      <c r="H26" s="17"/>
      <c r="I26" s="117" t="s">
        <v>135</v>
      </c>
      <c r="J26" s="118"/>
      <c r="K26" s="72"/>
      <c r="N26" s="19"/>
      <c r="P26" s="36">
        <f>V10</f>
        <v>67.351920908018656</v>
      </c>
      <c r="Q26" s="36">
        <f>W10</f>
        <v>-67.351920908018641</v>
      </c>
      <c r="R26" s="36">
        <f>T10</f>
        <v>77.46354787898629</v>
      </c>
      <c r="S26" s="36">
        <f>U10</f>
        <v>-77.463547878986276</v>
      </c>
      <c r="T26" s="37"/>
      <c r="U26" s="37"/>
      <c r="V26" s="37"/>
      <c r="W26" s="37"/>
      <c r="X26" s="18"/>
    </row>
    <row r="27" spans="1:24">
      <c r="A27" s="101" t="s">
        <v>155</v>
      </c>
      <c r="B27" s="18"/>
      <c r="D27" s="18"/>
      <c r="G27" s="18"/>
      <c r="H27" s="17"/>
      <c r="I27" s="102" t="s">
        <v>136</v>
      </c>
      <c r="J27" s="102" t="s">
        <v>140</v>
      </c>
      <c r="K27" s="102" t="s">
        <v>137</v>
      </c>
      <c r="L27" s="102" t="s">
        <v>164</v>
      </c>
      <c r="M27" s="11" t="s">
        <v>112</v>
      </c>
      <c r="N27" s="19"/>
      <c r="P27" s="38">
        <f>($W$3-$W$3/5)*R10</f>
        <v>53.881536726414929</v>
      </c>
      <c r="Q27" s="38">
        <f>($W$3-$W$3/5)*S10</f>
        <v>-53.881536726414922</v>
      </c>
      <c r="R27" s="38">
        <f>($U$3 + $U$3/5)*R10</f>
        <v>92.956257454783554</v>
      </c>
      <c r="S27" s="38">
        <f>($U$3 + $U$3/5)*S10</f>
        <v>-92.95625745478354</v>
      </c>
      <c r="T27" s="39"/>
      <c r="U27" s="39"/>
      <c r="V27" s="39"/>
      <c r="W27" s="39"/>
      <c r="X27" s="18"/>
    </row>
    <row r="28" spans="1:24">
      <c r="A28" s="101" t="s">
        <v>157</v>
      </c>
      <c r="B28" s="18"/>
      <c r="D28" s="18"/>
      <c r="E28" s="18"/>
      <c r="F28" s="18"/>
      <c r="G28" s="18"/>
      <c r="H28" s="17"/>
      <c r="I28" s="12">
        <v>15</v>
      </c>
      <c r="J28" s="12">
        <v>12</v>
      </c>
      <c r="K28" s="12">
        <v>100</v>
      </c>
      <c r="L28" s="12">
        <v>100</v>
      </c>
      <c r="M28" s="14">
        <v>10055.25</v>
      </c>
      <c r="N28" s="19"/>
      <c r="P28" s="32"/>
      <c r="Q28" s="32"/>
    </row>
    <row r="29" spans="1:24">
      <c r="A29" s="101" t="s">
        <v>156</v>
      </c>
      <c r="B29" s="18"/>
      <c r="C29" s="18"/>
      <c r="D29" s="18"/>
      <c r="G29" s="18"/>
      <c r="H29" s="17"/>
      <c r="I29" s="18"/>
      <c r="J29" s="18"/>
      <c r="K29" s="18"/>
      <c r="L29" s="18"/>
      <c r="M29" s="18"/>
      <c r="N29" s="19"/>
      <c r="P29" s="40" t="s">
        <v>14</v>
      </c>
      <c r="R29" s="40" t="s">
        <v>23</v>
      </c>
      <c r="S29" s="40"/>
      <c r="T29" s="40"/>
      <c r="U29" s="40"/>
    </row>
    <row r="30" spans="1:24">
      <c r="G30" s="18"/>
      <c r="H30" s="17"/>
      <c r="I30" s="116" t="s">
        <v>141</v>
      </c>
      <c r="J30" s="18"/>
      <c r="K30" s="18"/>
      <c r="L30" s="18"/>
      <c r="M30" s="18"/>
      <c r="N30" s="19"/>
      <c r="P30" s="40" t="s">
        <v>15</v>
      </c>
      <c r="Q30" s="40" t="s">
        <v>19</v>
      </c>
      <c r="R30" s="40" t="s">
        <v>25</v>
      </c>
      <c r="S30" s="40" t="s">
        <v>32</v>
      </c>
      <c r="T30" s="40" t="s">
        <v>33</v>
      </c>
      <c r="U30" s="40" t="s">
        <v>24</v>
      </c>
      <c r="V30" s="40" t="s">
        <v>29</v>
      </c>
      <c r="W30" s="40" t="s">
        <v>38</v>
      </c>
      <c r="X30" s="40"/>
    </row>
    <row r="31" spans="1:24">
      <c r="A31" s="17"/>
      <c r="B31" s="18"/>
      <c r="C31" s="18"/>
      <c r="D31" s="18"/>
      <c r="E31" s="18"/>
      <c r="F31" s="18"/>
      <c r="G31" s="18"/>
      <c r="H31" s="17"/>
      <c r="I31" s="102" t="s">
        <v>142</v>
      </c>
      <c r="J31" s="102" t="s">
        <v>143</v>
      </c>
      <c r="K31" s="102" t="s">
        <v>144</v>
      </c>
      <c r="L31" s="102" t="s">
        <v>145</v>
      </c>
      <c r="M31" s="102"/>
      <c r="N31" s="19"/>
      <c r="P31" s="40" t="s">
        <v>17</v>
      </c>
      <c r="Q31" s="40" t="s">
        <v>20</v>
      </c>
      <c r="R31" s="40" t="s">
        <v>32</v>
      </c>
      <c r="S31" s="40" t="s">
        <v>34</v>
      </c>
      <c r="T31" s="40" t="s">
        <v>26</v>
      </c>
      <c r="U31" s="40" t="str">
        <f>IF($D$6=$T$30,T31,S31)</f>
        <v>Riser</v>
      </c>
      <c r="V31" s="40" t="s">
        <v>30</v>
      </c>
      <c r="W31" s="40" t="s">
        <v>39</v>
      </c>
      <c r="X31" s="40"/>
    </row>
    <row r="32" spans="1:24">
      <c r="A32" s="17"/>
      <c r="B32" s="18"/>
      <c r="C32" s="18"/>
      <c r="D32" s="18"/>
      <c r="E32" s="18"/>
      <c r="F32" s="18"/>
      <c r="G32" s="18"/>
      <c r="H32" s="17"/>
      <c r="I32" s="12">
        <v>106</v>
      </c>
      <c r="J32" s="12">
        <v>5.55</v>
      </c>
      <c r="K32" s="12">
        <v>0.30520000000000003</v>
      </c>
      <c r="L32" s="12">
        <v>0</v>
      </c>
      <c r="M32" s="12"/>
      <c r="N32" s="19"/>
      <c r="P32" s="41" t="s">
        <v>16</v>
      </c>
      <c r="Q32" s="41" t="s">
        <v>21</v>
      </c>
      <c r="R32" s="40" t="s">
        <v>33</v>
      </c>
      <c r="S32" s="40" t="s">
        <v>35</v>
      </c>
      <c r="T32" s="40" t="s">
        <v>27</v>
      </c>
      <c r="U32" s="40" t="str">
        <f>IF($D$6=$T$30,T32,S32)</f>
        <v>Landfall</v>
      </c>
      <c r="V32" s="40" t="s">
        <v>31</v>
      </c>
      <c r="W32" s="40" t="s">
        <v>40</v>
      </c>
      <c r="X32" s="40"/>
    </row>
    <row r="33" spans="1:23">
      <c r="A33" s="17"/>
      <c r="B33" s="18"/>
      <c r="C33" s="18"/>
      <c r="D33" s="18"/>
      <c r="E33" s="18"/>
      <c r="F33" s="18"/>
      <c r="G33" s="18"/>
      <c r="H33" s="17"/>
      <c r="I33" s="18"/>
      <c r="J33" s="18"/>
      <c r="K33" s="18"/>
      <c r="L33" s="18"/>
      <c r="M33" s="18"/>
      <c r="N33" s="19"/>
      <c r="P33" s="40" t="s">
        <v>18</v>
      </c>
      <c r="Q33" s="40" t="s">
        <v>22</v>
      </c>
      <c r="R33" s="40"/>
      <c r="S33" s="40"/>
      <c r="T33" s="40" t="s">
        <v>28</v>
      </c>
      <c r="U33" s="40" t="str">
        <f>IF($D$6=$T$30,T33,S33)</f>
        <v>Seabed</v>
      </c>
    </row>
    <row r="34" spans="1:23">
      <c r="A34" s="17"/>
      <c r="B34" s="18"/>
      <c r="C34" s="18"/>
      <c r="D34" s="18"/>
      <c r="E34" s="18"/>
      <c r="F34" s="18"/>
      <c r="G34" s="18"/>
      <c r="H34" s="17"/>
      <c r="I34" s="116" t="s">
        <v>171</v>
      </c>
      <c r="J34" s="18"/>
      <c r="K34" s="18"/>
      <c r="L34" s="18"/>
      <c r="M34" s="18"/>
      <c r="N34" s="19"/>
      <c r="P34" s="32"/>
      <c r="Q34" s="32"/>
    </row>
    <row r="35" spans="1:23">
      <c r="A35" s="17"/>
      <c r="B35" s="18"/>
      <c r="C35" s="18"/>
      <c r="D35" s="18"/>
      <c r="E35" s="18"/>
      <c r="F35" s="18"/>
      <c r="G35" s="18"/>
      <c r="H35" s="17"/>
      <c r="I35" s="102" t="s">
        <v>142</v>
      </c>
      <c r="J35" s="102" t="s">
        <v>143</v>
      </c>
      <c r="K35" s="102" t="s">
        <v>144</v>
      </c>
      <c r="L35" s="102" t="s">
        <v>145</v>
      </c>
      <c r="M35" s="102"/>
      <c r="N35" s="19"/>
      <c r="P35" s="40" t="s">
        <v>41</v>
      </c>
      <c r="Q35" s="40" t="s">
        <v>120</v>
      </c>
      <c r="R35" s="40" t="s">
        <v>115</v>
      </c>
      <c r="W35" s="40" t="s">
        <v>166</v>
      </c>
    </row>
    <row r="36" spans="1:23">
      <c r="A36" s="17"/>
      <c r="B36" s="18"/>
      <c r="C36" s="18"/>
      <c r="D36" s="18"/>
      <c r="E36" s="18"/>
      <c r="F36" s="18"/>
      <c r="G36" s="18"/>
      <c r="H36" s="17"/>
      <c r="I36" s="12">
        <v>0</v>
      </c>
      <c r="J36" s="12">
        <v>0</v>
      </c>
      <c r="K36" s="12">
        <v>0</v>
      </c>
      <c r="L36" s="12">
        <v>0</v>
      </c>
      <c r="M36" s="12"/>
      <c r="N36" s="19"/>
      <c r="P36" s="40" t="s">
        <v>42</v>
      </c>
      <c r="Q36" s="40" t="s">
        <v>121</v>
      </c>
      <c r="R36" s="40" t="s">
        <v>116</v>
      </c>
      <c r="W36" s="40" t="s">
        <v>30</v>
      </c>
    </row>
    <row r="37" spans="1:23">
      <c r="A37" s="17"/>
      <c r="B37" s="18"/>
      <c r="C37" s="18"/>
      <c r="D37" s="18"/>
      <c r="E37" s="18"/>
      <c r="F37" s="18"/>
      <c r="G37" s="18"/>
      <c r="H37" s="17"/>
      <c r="I37" s="18"/>
      <c r="J37" s="18"/>
      <c r="K37" s="18"/>
      <c r="L37" s="18"/>
      <c r="M37" s="18"/>
      <c r="N37" s="19"/>
      <c r="P37" s="40" t="s">
        <v>43</v>
      </c>
      <c r="Q37" s="40" t="s">
        <v>122</v>
      </c>
      <c r="R37" s="40" t="s">
        <v>117</v>
      </c>
      <c r="W37" s="40" t="s">
        <v>31</v>
      </c>
    </row>
    <row r="38" spans="1:23">
      <c r="A38" s="17"/>
      <c r="B38" s="18"/>
      <c r="C38" s="18"/>
      <c r="D38" s="18"/>
      <c r="E38" s="18"/>
      <c r="F38" s="18"/>
      <c r="G38" s="18"/>
      <c r="H38" s="17"/>
      <c r="I38" s="129" t="str">
        <f>IF(I5="stress","Stress","Strain")</f>
        <v>Stress</v>
      </c>
      <c r="J38" s="18"/>
      <c r="K38" s="18"/>
      <c r="L38" s="18"/>
      <c r="M38" s="18"/>
      <c r="N38" s="19"/>
      <c r="P38" s="41" t="s">
        <v>44</v>
      </c>
      <c r="Q38" s="40" t="s">
        <v>123</v>
      </c>
      <c r="R38" s="40" t="s">
        <v>118</v>
      </c>
    </row>
    <row r="39" spans="1:23">
      <c r="A39" s="17"/>
      <c r="B39" s="18"/>
      <c r="C39" s="18"/>
      <c r="D39" s="18"/>
      <c r="E39" s="18"/>
      <c r="F39" s="18"/>
      <c r="G39" s="18"/>
      <c r="H39" s="17"/>
      <c r="I39" s="102" t="str">
        <f>IF(I5="stress","sigma_h","epsilon_b")</f>
        <v>sigma_h</v>
      </c>
      <c r="J39" s="102" t="str">
        <f>IF(I5="stress","tau","epsilon_pL")</f>
        <v>tau</v>
      </c>
      <c r="K39" s="102" t="str">
        <f>IF(I5="stress","sigma_L","epsilon_ph")</f>
        <v>sigma_L</v>
      </c>
      <c r="L39" s="102" t="str">
        <f>IF(I5="stress","","epsilon_pr")</f>
        <v/>
      </c>
      <c r="M39" s="102"/>
      <c r="N39" s="19"/>
      <c r="P39" s="40" t="s">
        <v>45</v>
      </c>
      <c r="Q39" s="40" t="s">
        <v>124</v>
      </c>
      <c r="R39" s="40" t="s">
        <v>119</v>
      </c>
    </row>
    <row r="40" spans="1:23">
      <c r="A40" s="17"/>
      <c r="B40" s="18"/>
      <c r="C40" s="18"/>
      <c r="D40" s="18"/>
      <c r="E40" s="18"/>
      <c r="F40" s="18"/>
      <c r="G40" s="18"/>
      <c r="H40" s="17"/>
      <c r="I40" s="12"/>
      <c r="J40" s="12"/>
      <c r="K40" s="12"/>
      <c r="L40" s="12"/>
      <c r="M40" s="12"/>
      <c r="N40" s="19"/>
      <c r="P40" s="40" t="s">
        <v>46</v>
      </c>
      <c r="Q40" s="40" t="s">
        <v>125</v>
      </c>
    </row>
    <row r="41" spans="1:23">
      <c r="A41" s="17"/>
      <c r="B41" s="18"/>
      <c r="C41" s="18"/>
      <c r="D41" s="18"/>
      <c r="E41" s="18"/>
      <c r="F41" s="18"/>
      <c r="G41" s="18"/>
      <c r="H41" s="17"/>
      <c r="I41" s="18"/>
      <c r="J41" s="18"/>
      <c r="K41" s="18"/>
      <c r="L41" s="18"/>
      <c r="M41" s="18"/>
      <c r="N41" s="19"/>
      <c r="Q41" s="40" t="s">
        <v>126</v>
      </c>
    </row>
    <row r="42" spans="1:23" ht="16.5" thickBot="1">
      <c r="A42" s="4"/>
      <c r="B42" s="20"/>
      <c r="C42" s="20"/>
      <c r="D42" s="20"/>
      <c r="E42" s="20"/>
      <c r="F42" s="20"/>
      <c r="G42" s="20"/>
      <c r="H42" s="4"/>
      <c r="I42" s="20"/>
      <c r="J42" s="20"/>
      <c r="K42" s="20"/>
      <c r="L42" s="20"/>
      <c r="M42" s="20"/>
      <c r="N42" s="21"/>
      <c r="Q42" s="40" t="s">
        <v>127</v>
      </c>
    </row>
    <row r="43" spans="1:23" ht="29.25" customHeight="1" thickBot="1">
      <c r="A43" s="15" t="s">
        <v>0</v>
      </c>
      <c r="B43" s="135" t="str">
        <f>B1</f>
        <v>Pipeline Code Check Tool - PD8010</v>
      </c>
      <c r="C43" s="135"/>
      <c r="D43" s="135"/>
      <c r="E43" s="135"/>
      <c r="F43" s="135"/>
      <c r="G43" s="136"/>
      <c r="H43" s="15" t="s">
        <v>0</v>
      </c>
      <c r="I43" s="135" t="str">
        <f>B1</f>
        <v>Pipeline Code Check Tool - PD8010</v>
      </c>
      <c r="J43" s="135"/>
      <c r="K43" s="135"/>
      <c r="L43" s="135"/>
      <c r="M43" s="135"/>
      <c r="N43" s="136"/>
    </row>
    <row r="44" spans="1:23" ht="29.25" customHeight="1" thickBot="1">
      <c r="A44" s="16" t="s">
        <v>0</v>
      </c>
      <c r="B44" s="131"/>
      <c r="C44" s="131"/>
      <c r="D44" s="131"/>
      <c r="E44" s="132"/>
      <c r="F44" s="5" t="s">
        <v>1</v>
      </c>
      <c r="G44" s="6">
        <f ca="1">TODAY()</f>
        <v>44595</v>
      </c>
      <c r="H44" s="16" t="s">
        <v>0</v>
      </c>
      <c r="I44" s="133"/>
      <c r="J44" s="133"/>
      <c r="K44" s="133"/>
      <c r="L44" s="134"/>
      <c r="M44" s="5" t="s">
        <v>1</v>
      </c>
      <c r="N44" s="6">
        <f ca="1">TODAY()</f>
        <v>44595</v>
      </c>
    </row>
    <row r="45" spans="1:23">
      <c r="A45" s="98" t="s">
        <v>82</v>
      </c>
      <c r="B45" s="46"/>
      <c r="C45" s="46"/>
      <c r="D45" s="46"/>
      <c r="E45" s="46"/>
      <c r="F45" s="46"/>
      <c r="G45" s="47"/>
      <c r="H45" s="98" t="s">
        <v>96</v>
      </c>
      <c r="I45" s="2"/>
      <c r="J45" s="2"/>
      <c r="K45" s="2"/>
      <c r="L45" s="2"/>
      <c r="M45" s="2"/>
      <c r="N45" s="3"/>
      <c r="S45" s="81" t="s">
        <v>52</v>
      </c>
    </row>
    <row r="46" spans="1:23">
      <c r="A46" s="17"/>
      <c r="B46" s="18"/>
      <c r="C46" s="18"/>
      <c r="D46" s="8" t="s">
        <v>47</v>
      </c>
      <c r="E46" s="9"/>
      <c r="F46" s="113"/>
      <c r="G46" s="114"/>
      <c r="N46" s="19"/>
      <c r="P46" s="40" t="s">
        <v>49</v>
      </c>
      <c r="Q46" s="40" t="s">
        <v>87</v>
      </c>
      <c r="R46" s="40" t="s">
        <v>88</v>
      </c>
      <c r="S46" s="40" t="s">
        <v>89</v>
      </c>
      <c r="T46" s="40" t="s">
        <v>90</v>
      </c>
      <c r="U46" s="40" t="s">
        <v>94</v>
      </c>
      <c r="W46" s="40"/>
    </row>
    <row r="47" spans="1:23">
      <c r="A47" s="17"/>
      <c r="B47" s="18"/>
      <c r="C47" s="18"/>
      <c r="D47" s="100" t="s">
        <v>100</v>
      </c>
      <c r="E47" s="100" t="s">
        <v>101</v>
      </c>
      <c r="F47" s="100" t="s">
        <v>102</v>
      </c>
      <c r="G47" s="19"/>
      <c r="H47" s="85" t="s">
        <v>49</v>
      </c>
      <c r="I47" s="86" t="s">
        <v>84</v>
      </c>
      <c r="J47" s="86" t="s">
        <v>95</v>
      </c>
      <c r="K47" s="87" t="s">
        <v>52</v>
      </c>
      <c r="N47" s="83"/>
      <c r="P47" s="40" t="s">
        <v>85</v>
      </c>
      <c r="Q47" s="41">
        <f>U3</f>
        <v>109.55</v>
      </c>
      <c r="R47" s="40">
        <f>I48*0.5</f>
        <v>40</v>
      </c>
      <c r="S47" s="82">
        <f>ASIN(R47/Q47)</f>
        <v>0.37377252391608179</v>
      </c>
      <c r="T47" s="82">
        <f>DEGREES(S47)</f>
        <v>21.415588118344111</v>
      </c>
      <c r="U47" s="40">
        <v>1</v>
      </c>
      <c r="V47" s="40"/>
      <c r="W47" s="40"/>
    </row>
    <row r="48" spans="1:23">
      <c r="A48" s="17"/>
      <c r="B48" s="18"/>
      <c r="C48" s="18"/>
      <c r="D48" s="7">
        <v>600</v>
      </c>
      <c r="E48" s="7">
        <v>355</v>
      </c>
      <c r="F48" s="84">
        <f>D48-E48</f>
        <v>245</v>
      </c>
      <c r="G48" s="19"/>
      <c r="H48" s="88" t="s">
        <v>50</v>
      </c>
      <c r="I48" s="89">
        <v>80</v>
      </c>
      <c r="J48" s="90">
        <v>12</v>
      </c>
      <c r="K48" s="91">
        <f>T47</f>
        <v>21.415588118344111</v>
      </c>
      <c r="N48" s="83"/>
      <c r="P48" s="40" t="s">
        <v>86</v>
      </c>
      <c r="Q48" s="41">
        <f>Q47</f>
        <v>109.55</v>
      </c>
      <c r="R48" s="40">
        <f>I49*0.5</f>
        <v>75</v>
      </c>
      <c r="S48" s="82">
        <f>ASIN(R48/Q48)</f>
        <v>0.75408072240686896</v>
      </c>
      <c r="T48" s="82">
        <f>DEGREES(S48)</f>
        <v>43.205642806089799</v>
      </c>
      <c r="U48" s="40">
        <v>8</v>
      </c>
      <c r="V48" s="40"/>
      <c r="W48" s="40"/>
    </row>
    <row r="49" spans="1:23">
      <c r="A49" s="17"/>
      <c r="B49" s="18"/>
      <c r="C49" s="18"/>
      <c r="D49" s="18"/>
      <c r="E49" s="18"/>
      <c r="F49" s="18"/>
      <c r="G49" s="19"/>
      <c r="H49" s="92" t="s">
        <v>51</v>
      </c>
      <c r="I49" s="93">
        <v>150</v>
      </c>
      <c r="J49" s="94">
        <v>12</v>
      </c>
      <c r="K49" s="95">
        <f>T48</f>
        <v>43.205642806089799</v>
      </c>
      <c r="L49" s="79"/>
      <c r="M49" s="18"/>
      <c r="N49" s="19"/>
      <c r="P49" s="40"/>
      <c r="Q49" s="40"/>
      <c r="R49" s="40"/>
      <c r="S49" s="40"/>
      <c r="T49" s="40"/>
      <c r="U49" s="40">
        <v>12</v>
      </c>
      <c r="V49" s="40"/>
      <c r="W49" s="40"/>
    </row>
    <row r="50" spans="1:23">
      <c r="A50" s="17"/>
      <c r="B50" s="18"/>
      <c r="C50" s="18"/>
      <c r="D50" s="77" t="s">
        <v>48</v>
      </c>
      <c r="E50" s="71" t="str">
        <f>S66</f>
        <v>M30x3.5</v>
      </c>
      <c r="F50" s="72"/>
      <c r="G50" s="19"/>
      <c r="H50" s="18"/>
      <c r="I50" s="18"/>
      <c r="J50" s="18"/>
      <c r="K50" s="18"/>
      <c r="L50" s="18"/>
      <c r="M50" s="18"/>
      <c r="N50" s="19"/>
      <c r="P50" s="40"/>
      <c r="Q50" s="40"/>
      <c r="R50" s="40"/>
      <c r="S50" s="40"/>
      <c r="T50" s="40"/>
      <c r="U50" s="40"/>
      <c r="V50" s="40"/>
      <c r="W50" s="40"/>
    </row>
    <row r="51" spans="1:23">
      <c r="A51" s="17"/>
      <c r="B51" s="18"/>
      <c r="C51" s="18"/>
      <c r="D51" s="65" t="s">
        <v>24</v>
      </c>
      <c r="E51" s="65" t="s">
        <v>71</v>
      </c>
      <c r="F51" s="66" t="s">
        <v>72</v>
      </c>
      <c r="G51" s="19"/>
      <c r="H51" s="18"/>
      <c r="I51" s="18"/>
      <c r="J51" s="18"/>
      <c r="K51" s="18"/>
      <c r="L51" s="18"/>
      <c r="M51" s="18"/>
      <c r="N51" s="19"/>
    </row>
    <row r="52" spans="1:23">
      <c r="A52" s="17"/>
      <c r="B52" s="18"/>
      <c r="C52" s="18"/>
      <c r="D52" s="7" t="s">
        <v>53</v>
      </c>
      <c r="E52" s="7" t="s">
        <v>65</v>
      </c>
      <c r="F52" s="7">
        <v>0.16</v>
      </c>
      <c r="G52" s="19"/>
      <c r="H52" s="18"/>
      <c r="I52" s="18"/>
      <c r="J52" s="18"/>
      <c r="K52" s="18"/>
      <c r="L52" s="18"/>
      <c r="M52" s="18"/>
      <c r="N52" s="19"/>
    </row>
    <row r="53" spans="1:23">
      <c r="A53" s="17"/>
      <c r="B53" s="18"/>
      <c r="C53" s="18"/>
      <c r="D53" s="107" t="s">
        <v>80</v>
      </c>
      <c r="E53" s="71"/>
      <c r="F53" s="72"/>
      <c r="G53" s="19"/>
      <c r="H53" s="18"/>
      <c r="I53" s="18"/>
      <c r="J53" s="18"/>
      <c r="K53" s="18"/>
      <c r="L53" s="18"/>
      <c r="M53" s="18"/>
      <c r="N53" s="19"/>
    </row>
    <row r="54" spans="1:23">
      <c r="A54" s="17"/>
      <c r="B54" s="18"/>
      <c r="C54" s="18"/>
      <c r="D54" s="73"/>
      <c r="E54" s="68" t="s">
        <v>78</v>
      </c>
      <c r="F54" s="108">
        <f>VLOOKUP(D52,P68:W74,2,FALSE)</f>
        <v>30</v>
      </c>
      <c r="G54" s="19"/>
      <c r="H54" s="18"/>
      <c r="I54" s="18"/>
      <c r="J54" s="18"/>
      <c r="K54" s="18"/>
      <c r="L54" s="18"/>
      <c r="M54" s="18"/>
      <c r="N54" s="19"/>
    </row>
    <row r="55" spans="1:23">
      <c r="A55" s="17"/>
      <c r="B55" s="18"/>
      <c r="C55" s="18"/>
      <c r="D55" s="73"/>
      <c r="E55" s="69" t="s">
        <v>83</v>
      </c>
      <c r="F55" s="109">
        <f>VLOOKUP(D52,P68:W74,3,FALSE)</f>
        <v>561</v>
      </c>
      <c r="G55" s="19"/>
      <c r="H55" s="18"/>
      <c r="I55" s="18"/>
      <c r="J55" s="18"/>
      <c r="K55" s="18"/>
      <c r="L55" s="18"/>
      <c r="M55" s="18"/>
      <c r="N55" s="19"/>
    </row>
    <row r="56" spans="1:23">
      <c r="A56" s="17"/>
      <c r="B56" s="18"/>
      <c r="C56" s="18"/>
      <c r="D56" s="74"/>
      <c r="E56" s="68" t="s">
        <v>77</v>
      </c>
      <c r="F56" s="108">
        <f>VLOOKUP(D52,P68:W74,8,FALSE)</f>
        <v>33</v>
      </c>
      <c r="G56" s="19"/>
      <c r="H56" s="18"/>
      <c r="I56" s="18"/>
      <c r="J56" s="18"/>
      <c r="K56" s="18"/>
      <c r="L56" s="18"/>
      <c r="M56" s="18"/>
      <c r="N56" s="19"/>
    </row>
    <row r="57" spans="1:23">
      <c r="A57" s="17"/>
      <c r="B57" s="18"/>
      <c r="C57" s="18"/>
      <c r="D57" s="74"/>
      <c r="E57" s="68" t="s">
        <v>81</v>
      </c>
      <c r="F57" s="108">
        <f>VLOOKUP(D52,P68:W74,4,FALSE)</f>
        <v>30</v>
      </c>
      <c r="G57" s="19"/>
      <c r="H57" s="18"/>
      <c r="I57" s="18"/>
      <c r="J57" s="18"/>
      <c r="K57" s="18"/>
      <c r="L57" s="18"/>
      <c r="M57" s="18"/>
      <c r="N57" s="19"/>
    </row>
    <row r="58" spans="1:23">
      <c r="A58" s="17"/>
      <c r="B58" s="18"/>
      <c r="C58" s="18"/>
      <c r="D58" s="74"/>
      <c r="E58" s="68" t="s">
        <v>75</v>
      </c>
      <c r="F58" s="109">
        <f>VLOOKUP(D52,P77:W83,5,FALSE)</f>
        <v>3.5</v>
      </c>
      <c r="G58" s="19"/>
      <c r="H58" s="80"/>
      <c r="I58" s="18"/>
      <c r="J58" s="18"/>
      <c r="K58" s="18"/>
      <c r="L58" s="18"/>
      <c r="M58" s="18"/>
      <c r="N58" s="19"/>
    </row>
    <row r="59" spans="1:23">
      <c r="A59" s="17"/>
      <c r="B59" s="18"/>
      <c r="C59" s="18"/>
      <c r="D59" s="74"/>
      <c r="E59" s="69" t="s">
        <v>76</v>
      </c>
      <c r="F59" s="108">
        <f>VLOOKUP(D52,P68:W74,7,FALSE)</f>
        <v>46</v>
      </c>
      <c r="G59" s="19"/>
      <c r="H59" s="18"/>
      <c r="I59" s="18"/>
      <c r="J59" s="18"/>
      <c r="K59" s="18"/>
      <c r="L59" s="18"/>
      <c r="M59" s="18"/>
      <c r="N59" s="19"/>
    </row>
    <row r="60" spans="1:23">
      <c r="A60" s="17"/>
      <c r="B60" s="18"/>
      <c r="C60" s="18"/>
      <c r="D60" s="74"/>
      <c r="E60" s="68" t="s">
        <v>97</v>
      </c>
      <c r="F60" s="110">
        <f>VLOOKUP(D52,P77:W83,3,FALSE)</f>
        <v>13.363077719938119</v>
      </c>
      <c r="G60" s="19"/>
      <c r="H60" s="18"/>
      <c r="I60" s="18"/>
      <c r="J60" s="18"/>
      <c r="K60" s="18"/>
      <c r="L60" s="18"/>
      <c r="M60" s="18"/>
      <c r="N60" s="19"/>
    </row>
    <row r="61" spans="1:23">
      <c r="A61" s="17"/>
      <c r="B61" s="18"/>
      <c r="C61" s="18"/>
      <c r="D61" s="74"/>
      <c r="E61" s="69" t="s">
        <v>79</v>
      </c>
      <c r="F61" s="111">
        <f>VLOOKUP(D52,P77:W83,2,FALSE)</f>
        <v>19.75</v>
      </c>
      <c r="G61" s="19"/>
      <c r="H61" s="18"/>
      <c r="I61" s="18"/>
      <c r="J61" s="18"/>
      <c r="K61" s="18"/>
      <c r="L61" s="18"/>
      <c r="M61" s="18"/>
      <c r="N61" s="19"/>
    </row>
    <row r="62" spans="1:23">
      <c r="A62" s="17"/>
      <c r="B62" s="18"/>
      <c r="C62" s="18"/>
      <c r="D62" s="75"/>
      <c r="E62" s="76" t="s">
        <v>98</v>
      </c>
      <c r="F62" s="112">
        <f>($F$58/(2*PI())+$F$60*$F$52/COS(RADIANS($F$57))+F61*F52)</f>
        <v>6.1858987868402462</v>
      </c>
      <c r="G62" s="19"/>
      <c r="H62" s="18"/>
      <c r="I62" s="18"/>
      <c r="J62" s="18"/>
      <c r="K62" s="18"/>
      <c r="L62" s="18"/>
      <c r="M62" s="18"/>
      <c r="N62" s="19"/>
    </row>
    <row r="63" spans="1:23">
      <c r="A63" s="17"/>
      <c r="B63" s="18"/>
      <c r="C63" s="18"/>
      <c r="D63" s="67"/>
      <c r="E63" s="69"/>
      <c r="F63" s="42"/>
      <c r="G63" s="19"/>
      <c r="H63" s="18"/>
      <c r="I63" s="18"/>
      <c r="J63" s="18"/>
      <c r="K63" s="18"/>
      <c r="L63" s="18"/>
      <c r="M63" s="18"/>
      <c r="N63" s="19"/>
    </row>
    <row r="64" spans="1:23">
      <c r="A64" s="17"/>
      <c r="B64" s="18"/>
      <c r="C64" s="18"/>
      <c r="D64" s="67"/>
      <c r="E64" s="68"/>
      <c r="F64" s="70"/>
      <c r="G64" s="19"/>
      <c r="H64" s="18"/>
      <c r="I64" s="18"/>
      <c r="J64" s="18"/>
      <c r="K64" s="18"/>
      <c r="L64" s="18"/>
      <c r="M64" s="18"/>
      <c r="N64" s="19"/>
    </row>
    <row r="65" spans="1:23">
      <c r="A65" s="99" t="s">
        <v>99</v>
      </c>
      <c r="B65" s="18"/>
      <c r="C65" s="18"/>
      <c r="D65" s="67"/>
      <c r="E65" s="78"/>
      <c r="F65" s="42"/>
      <c r="G65" s="19"/>
      <c r="H65" s="18"/>
      <c r="I65" s="18"/>
      <c r="J65" s="18"/>
      <c r="K65" s="18"/>
      <c r="L65" s="18"/>
      <c r="M65" s="18"/>
      <c r="N65" s="19"/>
    </row>
    <row r="66" spans="1:23">
      <c r="A66" s="17"/>
      <c r="B66" s="18"/>
      <c r="C66" s="18"/>
      <c r="D66" s="67"/>
      <c r="E66" s="68"/>
      <c r="F66" s="70"/>
      <c r="G66" s="19"/>
      <c r="H66" s="18"/>
      <c r="I66" s="18"/>
      <c r="J66" s="18"/>
      <c r="K66" s="18"/>
      <c r="L66" s="18"/>
      <c r="M66" s="18"/>
      <c r="N66" s="19"/>
      <c r="P66" s="40" t="s">
        <v>48</v>
      </c>
      <c r="Q66" s="40" t="str">
        <f>D52</f>
        <v>M30</v>
      </c>
      <c r="R66" s="40" t="str">
        <f>E52</f>
        <v>Coarse</v>
      </c>
      <c r="S66" s="40" t="str">
        <f>_xlfn.CONCAT(Q66,"x",T74)</f>
        <v>M30x3.5</v>
      </c>
      <c r="T66" s="48" t="s">
        <v>64</v>
      </c>
    </row>
    <row r="67" spans="1:23">
      <c r="A67" s="17"/>
      <c r="B67" s="18"/>
      <c r="C67" s="18"/>
      <c r="D67" s="67"/>
      <c r="E67" s="69"/>
      <c r="F67" s="42"/>
      <c r="G67" s="19"/>
      <c r="H67" s="18"/>
      <c r="I67" s="18"/>
      <c r="J67" s="18"/>
      <c r="K67" s="18"/>
      <c r="L67" s="18"/>
      <c r="M67" s="18"/>
      <c r="N67" s="19"/>
      <c r="P67" s="51" t="s">
        <v>24</v>
      </c>
      <c r="Q67" s="51" t="s">
        <v>61</v>
      </c>
      <c r="R67" s="52" t="s">
        <v>62</v>
      </c>
      <c r="S67" s="51" t="s">
        <v>63</v>
      </c>
      <c r="T67" s="53" t="s">
        <v>65</v>
      </c>
      <c r="U67" s="53" t="s">
        <v>66</v>
      </c>
      <c r="V67" s="51" t="s">
        <v>67</v>
      </c>
      <c r="W67" s="54" t="s">
        <v>68</v>
      </c>
    </row>
    <row r="68" spans="1:23">
      <c r="A68" s="17"/>
      <c r="B68" s="18"/>
      <c r="C68" s="18"/>
      <c r="D68" s="67"/>
      <c r="E68" s="68"/>
      <c r="F68" s="70"/>
      <c r="G68" s="19"/>
      <c r="H68" s="18"/>
      <c r="I68" s="18"/>
      <c r="J68" s="18"/>
      <c r="K68" s="18"/>
      <c r="L68" s="18"/>
      <c r="M68" s="18"/>
      <c r="N68" s="19"/>
      <c r="P68" s="55" t="s">
        <v>54</v>
      </c>
      <c r="Q68" s="55">
        <v>12</v>
      </c>
      <c r="R68" s="55">
        <v>84.3</v>
      </c>
      <c r="S68" s="55">
        <v>30</v>
      </c>
      <c r="T68" s="55">
        <v>1.75</v>
      </c>
      <c r="U68" s="55">
        <v>1.5</v>
      </c>
      <c r="V68" s="55">
        <v>19</v>
      </c>
      <c r="W68" s="55">
        <v>14</v>
      </c>
    </row>
    <row r="69" spans="1:23">
      <c r="A69" s="17"/>
      <c r="B69" s="18"/>
      <c r="C69" s="18"/>
      <c r="D69" s="18"/>
      <c r="E69" s="69"/>
      <c r="F69" s="42"/>
      <c r="G69" s="19"/>
      <c r="H69" s="18"/>
      <c r="I69" s="18"/>
      <c r="J69" s="18"/>
      <c r="K69" s="18"/>
      <c r="L69" s="18"/>
      <c r="M69" s="18"/>
      <c r="N69" s="19"/>
      <c r="P69" s="58" t="s">
        <v>55</v>
      </c>
      <c r="Q69" s="58">
        <v>16</v>
      </c>
      <c r="R69" s="58">
        <v>157</v>
      </c>
      <c r="S69" s="58">
        <v>30</v>
      </c>
      <c r="T69" s="58">
        <v>2</v>
      </c>
      <c r="U69" s="58">
        <v>1.5</v>
      </c>
      <c r="V69" s="58">
        <v>24</v>
      </c>
      <c r="W69" s="58">
        <v>18</v>
      </c>
    </row>
    <row r="70" spans="1:23">
      <c r="A70" s="17"/>
      <c r="B70" s="18"/>
      <c r="C70" s="18"/>
      <c r="D70" s="18"/>
      <c r="E70" s="18"/>
      <c r="F70" s="18"/>
      <c r="G70" s="19"/>
      <c r="H70" s="18"/>
      <c r="I70" s="18"/>
      <c r="J70" s="18"/>
      <c r="K70" s="18"/>
      <c r="L70" s="18"/>
      <c r="M70" s="18"/>
      <c r="N70" s="19"/>
      <c r="P70" s="58" t="s">
        <v>56</v>
      </c>
      <c r="Q70" s="58">
        <v>20</v>
      </c>
      <c r="R70" s="58">
        <v>245</v>
      </c>
      <c r="S70" s="58">
        <v>30</v>
      </c>
      <c r="T70" s="58">
        <v>2.5</v>
      </c>
      <c r="U70" s="58">
        <v>2</v>
      </c>
      <c r="V70" s="58">
        <v>30</v>
      </c>
      <c r="W70" s="58">
        <v>22</v>
      </c>
    </row>
    <row r="71" spans="1:23">
      <c r="A71" s="17"/>
      <c r="B71" s="18"/>
      <c r="C71" s="18"/>
      <c r="D71" s="18"/>
      <c r="E71" s="18"/>
      <c r="F71" s="18"/>
      <c r="G71" s="19"/>
      <c r="H71" s="18"/>
      <c r="I71" s="18"/>
      <c r="J71" s="18"/>
      <c r="K71" s="18"/>
      <c r="L71" s="18"/>
      <c r="M71" s="18"/>
      <c r="N71" s="19"/>
      <c r="P71" s="58" t="s">
        <v>57</v>
      </c>
      <c r="Q71" s="58">
        <v>22</v>
      </c>
      <c r="R71" s="58">
        <v>303</v>
      </c>
      <c r="S71" s="58">
        <v>30</v>
      </c>
      <c r="T71" s="58">
        <v>2.5</v>
      </c>
      <c r="U71" s="58">
        <v>2</v>
      </c>
      <c r="V71" s="58">
        <v>32</v>
      </c>
      <c r="W71" s="58">
        <v>24</v>
      </c>
    </row>
    <row r="72" spans="1:23">
      <c r="A72" s="17"/>
      <c r="B72" s="18"/>
      <c r="C72" s="18"/>
      <c r="D72" s="18"/>
      <c r="E72" s="18"/>
      <c r="F72" s="18"/>
      <c r="G72" s="19"/>
      <c r="H72" s="18"/>
      <c r="I72" s="18"/>
      <c r="J72" s="18"/>
      <c r="K72" s="18"/>
      <c r="L72" s="18"/>
      <c r="M72" s="18"/>
      <c r="N72" s="19"/>
      <c r="P72" s="58" t="s">
        <v>58</v>
      </c>
      <c r="Q72" s="58">
        <v>24</v>
      </c>
      <c r="R72" s="58">
        <v>353</v>
      </c>
      <c r="S72" s="58">
        <v>30</v>
      </c>
      <c r="T72" s="58">
        <v>3</v>
      </c>
      <c r="U72" s="58">
        <v>2</v>
      </c>
      <c r="V72" s="58">
        <v>36</v>
      </c>
      <c r="W72" s="58">
        <v>26</v>
      </c>
    </row>
    <row r="73" spans="1:23">
      <c r="A73" s="17"/>
      <c r="B73" s="18"/>
      <c r="C73" s="18"/>
      <c r="D73" s="18"/>
      <c r="E73" s="18"/>
      <c r="F73" s="18"/>
      <c r="G73" s="19"/>
      <c r="H73" s="18"/>
      <c r="I73" s="18"/>
      <c r="J73" s="18"/>
      <c r="K73" s="18"/>
      <c r="L73" s="18"/>
      <c r="M73" s="18"/>
      <c r="N73" s="19"/>
      <c r="P73" s="58" t="s">
        <v>59</v>
      </c>
      <c r="Q73" s="58">
        <v>27</v>
      </c>
      <c r="R73" s="58">
        <v>459</v>
      </c>
      <c r="S73" s="58">
        <v>30</v>
      </c>
      <c r="T73" s="58">
        <v>3</v>
      </c>
      <c r="U73" s="58">
        <v>2</v>
      </c>
      <c r="V73" s="58">
        <v>41</v>
      </c>
      <c r="W73" s="58">
        <v>30</v>
      </c>
    </row>
    <row r="74" spans="1:23">
      <c r="A74" s="17"/>
      <c r="B74" s="18"/>
      <c r="C74" s="18"/>
      <c r="D74" s="18"/>
      <c r="E74" s="18"/>
      <c r="F74" s="18"/>
      <c r="G74" s="19"/>
      <c r="H74" s="18"/>
      <c r="I74" s="18"/>
      <c r="J74" s="18"/>
      <c r="K74" s="18"/>
      <c r="L74" s="18"/>
      <c r="M74" s="18"/>
      <c r="N74" s="19"/>
      <c r="P74" s="62" t="s">
        <v>53</v>
      </c>
      <c r="Q74" s="62">
        <v>30</v>
      </c>
      <c r="R74" s="62">
        <v>561</v>
      </c>
      <c r="S74" s="62">
        <v>30</v>
      </c>
      <c r="T74" s="62">
        <v>3.5</v>
      </c>
      <c r="U74" s="62">
        <v>2</v>
      </c>
      <c r="V74" s="62">
        <v>46</v>
      </c>
      <c r="W74" s="62">
        <v>33</v>
      </c>
    </row>
    <row r="75" spans="1:23">
      <c r="A75" s="17"/>
      <c r="B75" s="18"/>
      <c r="C75" s="18"/>
      <c r="D75" s="18"/>
      <c r="E75" s="18"/>
      <c r="F75" s="18"/>
      <c r="G75" s="19"/>
      <c r="H75" s="18"/>
      <c r="I75" s="18"/>
      <c r="J75" s="18"/>
      <c r="K75" s="18"/>
      <c r="L75" s="18"/>
      <c r="M75" s="18"/>
      <c r="N75" s="19"/>
    </row>
    <row r="76" spans="1:23">
      <c r="A76" s="17"/>
      <c r="B76" s="18"/>
      <c r="C76" s="18"/>
      <c r="D76" s="18"/>
      <c r="E76" s="18"/>
      <c r="F76" s="18"/>
      <c r="G76" s="19"/>
      <c r="H76" s="18"/>
      <c r="I76" s="18"/>
      <c r="J76" s="18"/>
      <c r="K76" s="18"/>
      <c r="L76" s="18"/>
      <c r="M76" s="18"/>
      <c r="N76" s="19"/>
      <c r="P76" s="51" t="s">
        <v>24</v>
      </c>
      <c r="Q76" s="51" t="s">
        <v>74</v>
      </c>
      <c r="R76" s="51" t="s">
        <v>73</v>
      </c>
      <c r="S76" s="51" t="s">
        <v>71</v>
      </c>
      <c r="T76" s="54" t="s">
        <v>64</v>
      </c>
      <c r="U76" s="52" t="s">
        <v>60</v>
      </c>
      <c r="V76" s="51" t="s">
        <v>69</v>
      </c>
      <c r="W76" s="51" t="s">
        <v>70</v>
      </c>
    </row>
    <row r="77" spans="1:23">
      <c r="A77" s="17"/>
      <c r="B77" s="18"/>
      <c r="C77" s="18"/>
      <c r="D77" s="18"/>
      <c r="E77" s="18"/>
      <c r="F77" s="18"/>
      <c r="G77" s="19"/>
      <c r="H77" s="18"/>
      <c r="I77" s="18"/>
      <c r="J77" s="18"/>
      <c r="K77" s="18"/>
      <c r="L77" s="18"/>
      <c r="M77" s="18"/>
      <c r="N77" s="19"/>
      <c r="P77" s="55" t="s">
        <v>54</v>
      </c>
      <c r="Q77" s="57">
        <f t="shared" ref="Q77:Q83" si="7">(V68+W68)/4</f>
        <v>8.25</v>
      </c>
      <c r="R77" s="57">
        <f t="shared" ref="R77:R83" si="8">SQRT(4*R68/PI())/2</f>
        <v>5.1801084356694265</v>
      </c>
      <c r="S77" s="56" t="s">
        <v>65</v>
      </c>
      <c r="T77" s="55">
        <f t="shared" ref="T77:T83" si="9">IF($R$66="Coarse",T68,U68)</f>
        <v>1.75</v>
      </c>
      <c r="U77" s="57">
        <f t="shared" ref="U77:U83" si="10">T77/(2*TAN(RADIANS(S68)))</f>
        <v>1.5155444566227678</v>
      </c>
      <c r="V77" s="57">
        <f t="shared" ref="V77:V83" si="11">Q68-3*SQRT(3)/8*T77</f>
        <v>10.863341657532924</v>
      </c>
      <c r="W77" s="57">
        <f t="shared" ref="W77:W83" si="12">Q68-5*SQRT(3)/8*T77</f>
        <v>10.105569429221541</v>
      </c>
    </row>
    <row r="78" spans="1:23">
      <c r="A78" s="17"/>
      <c r="B78" s="18"/>
      <c r="C78" s="18"/>
      <c r="D78" s="18"/>
      <c r="E78" s="18"/>
      <c r="F78" s="18"/>
      <c r="G78" s="19"/>
      <c r="H78" s="18"/>
      <c r="I78" s="18"/>
      <c r="J78" s="18"/>
      <c r="K78" s="18"/>
      <c r="L78" s="18"/>
      <c r="M78" s="18"/>
      <c r="N78" s="19"/>
      <c r="P78" s="58" t="s">
        <v>55</v>
      </c>
      <c r="Q78" s="60">
        <f t="shared" si="7"/>
        <v>10.5</v>
      </c>
      <c r="R78" s="60">
        <f t="shared" si="8"/>
        <v>7.0692752196286106</v>
      </c>
      <c r="S78" s="59" t="s">
        <v>66</v>
      </c>
      <c r="T78" s="58">
        <f t="shared" si="9"/>
        <v>2</v>
      </c>
      <c r="U78" s="60">
        <f t="shared" si="10"/>
        <v>1.7320508075688774</v>
      </c>
      <c r="V78" s="60">
        <f t="shared" si="11"/>
        <v>14.700961894323342</v>
      </c>
      <c r="W78" s="60">
        <f t="shared" si="12"/>
        <v>13.834936490538905</v>
      </c>
    </row>
    <row r="79" spans="1:23">
      <c r="A79" s="17"/>
      <c r="B79" s="18"/>
      <c r="C79" s="18"/>
      <c r="D79" s="18"/>
      <c r="E79" s="18"/>
      <c r="F79" s="18"/>
      <c r="G79" s="19"/>
      <c r="H79" s="18"/>
      <c r="I79" s="18"/>
      <c r="J79" s="18"/>
      <c r="K79" s="18"/>
      <c r="L79" s="18"/>
      <c r="M79" s="18"/>
      <c r="N79" s="19"/>
      <c r="P79" s="58" t="s">
        <v>56</v>
      </c>
      <c r="Q79" s="60">
        <f t="shared" si="7"/>
        <v>13</v>
      </c>
      <c r="R79" s="60">
        <f t="shared" si="8"/>
        <v>8.8309638270705602</v>
      </c>
      <c r="S79" s="61"/>
      <c r="T79" s="58">
        <f t="shared" si="9"/>
        <v>2.5</v>
      </c>
      <c r="U79" s="60">
        <f t="shared" si="10"/>
        <v>2.1650635094610968</v>
      </c>
      <c r="V79" s="60">
        <f t="shared" si="11"/>
        <v>18.376202367904177</v>
      </c>
      <c r="W79" s="60">
        <f t="shared" si="12"/>
        <v>17.293670613173632</v>
      </c>
    </row>
    <row r="80" spans="1:23">
      <c r="A80" s="17"/>
      <c r="B80" s="18"/>
      <c r="C80" s="18"/>
      <c r="D80" s="18"/>
      <c r="E80" s="18"/>
      <c r="F80" s="18"/>
      <c r="G80" s="19"/>
      <c r="H80" s="18"/>
      <c r="I80" s="18"/>
      <c r="J80" s="18"/>
      <c r="K80" s="18"/>
      <c r="L80" s="18"/>
      <c r="M80" s="18"/>
      <c r="N80" s="19"/>
      <c r="P80" s="58" t="s">
        <v>57</v>
      </c>
      <c r="Q80" s="60">
        <f t="shared" si="7"/>
        <v>14</v>
      </c>
      <c r="R80" s="60">
        <f t="shared" si="8"/>
        <v>9.8207889455831694</v>
      </c>
      <c r="S80" s="61"/>
      <c r="T80" s="58">
        <f t="shared" si="9"/>
        <v>2.5</v>
      </c>
      <c r="U80" s="60">
        <f t="shared" si="10"/>
        <v>2.1650635094610968</v>
      </c>
      <c r="V80" s="60">
        <f t="shared" si="11"/>
        <v>20.376202367904177</v>
      </c>
      <c r="W80" s="60">
        <f t="shared" si="12"/>
        <v>19.293670613173632</v>
      </c>
    </row>
    <row r="81" spans="1:23">
      <c r="A81" s="17"/>
      <c r="B81" s="18"/>
      <c r="C81" s="18"/>
      <c r="D81" s="18"/>
      <c r="E81" s="18"/>
      <c r="F81" s="18"/>
      <c r="G81" s="19"/>
      <c r="H81" s="18"/>
      <c r="I81" s="18"/>
      <c r="J81" s="18"/>
      <c r="K81" s="18"/>
      <c r="L81" s="18"/>
      <c r="M81" s="18"/>
      <c r="N81" s="19"/>
      <c r="P81" s="58" t="s">
        <v>58</v>
      </c>
      <c r="Q81" s="60">
        <f t="shared" si="7"/>
        <v>15.5</v>
      </c>
      <c r="R81" s="60">
        <f t="shared" si="8"/>
        <v>10.600159896099592</v>
      </c>
      <c r="S81" s="61"/>
      <c r="T81" s="58">
        <f t="shared" si="9"/>
        <v>3</v>
      </c>
      <c r="U81" s="60">
        <f t="shared" si="10"/>
        <v>2.598076211353316</v>
      </c>
      <c r="V81" s="60">
        <f t="shared" si="11"/>
        <v>22.051442841485013</v>
      </c>
      <c r="W81" s="60">
        <f t="shared" si="12"/>
        <v>20.752404735808355</v>
      </c>
    </row>
    <row r="82" spans="1:23">
      <c r="A82" s="17"/>
      <c r="B82" s="18"/>
      <c r="C82" s="18"/>
      <c r="D82" s="18"/>
      <c r="E82" s="18"/>
      <c r="F82" s="18"/>
      <c r="G82" s="19"/>
      <c r="H82" s="18"/>
      <c r="I82" s="18"/>
      <c r="J82" s="18"/>
      <c r="K82" s="18"/>
      <c r="L82" s="18"/>
      <c r="M82" s="18"/>
      <c r="N82" s="19"/>
      <c r="P82" s="58" t="s">
        <v>59</v>
      </c>
      <c r="Q82" s="60">
        <f t="shared" si="7"/>
        <v>17.75</v>
      </c>
      <c r="R82" s="60">
        <f t="shared" si="8"/>
        <v>12.087358593107094</v>
      </c>
      <c r="S82" s="61"/>
      <c r="T82" s="58">
        <f t="shared" si="9"/>
        <v>3</v>
      </c>
      <c r="U82" s="60">
        <f t="shared" si="10"/>
        <v>2.598076211353316</v>
      </c>
      <c r="V82" s="60">
        <f t="shared" si="11"/>
        <v>25.051442841485013</v>
      </c>
      <c r="W82" s="60">
        <f t="shared" si="12"/>
        <v>23.752404735808355</v>
      </c>
    </row>
    <row r="83" spans="1:23">
      <c r="A83" s="17"/>
      <c r="B83" s="18"/>
      <c r="C83" s="18"/>
      <c r="D83" s="18"/>
      <c r="E83" s="18"/>
      <c r="F83" s="18"/>
      <c r="G83" s="19"/>
      <c r="H83" s="18"/>
      <c r="I83" s="18"/>
      <c r="J83" s="18"/>
      <c r="K83" s="18"/>
      <c r="L83" s="18"/>
      <c r="M83" s="18"/>
      <c r="N83" s="19"/>
      <c r="P83" s="62" t="s">
        <v>53</v>
      </c>
      <c r="Q83" s="64">
        <f t="shared" si="7"/>
        <v>19.75</v>
      </c>
      <c r="R83" s="64">
        <f t="shared" si="8"/>
        <v>13.363077719938119</v>
      </c>
      <c r="S83" s="63"/>
      <c r="T83" s="62">
        <f t="shared" si="9"/>
        <v>3.5</v>
      </c>
      <c r="U83" s="64">
        <f t="shared" si="10"/>
        <v>3.0310889132455356</v>
      </c>
      <c r="V83" s="64">
        <f t="shared" si="11"/>
        <v>27.726683315065848</v>
      </c>
      <c r="W83" s="64">
        <f t="shared" si="12"/>
        <v>26.211138858443082</v>
      </c>
    </row>
    <row r="84" spans="1:23" ht="16.5" thickBot="1">
      <c r="A84" s="4"/>
      <c r="B84" s="20"/>
      <c r="C84" s="20"/>
      <c r="D84" s="20"/>
      <c r="E84" s="20"/>
      <c r="F84" s="20"/>
      <c r="G84" s="21"/>
      <c r="H84" s="20"/>
      <c r="I84" s="20"/>
      <c r="J84" s="20"/>
      <c r="K84" s="20"/>
      <c r="L84" s="20"/>
      <c r="M84" s="20"/>
      <c r="N84" s="21"/>
    </row>
  </sheetData>
  <mergeCells count="8">
    <mergeCell ref="B44:E44"/>
    <mergeCell ref="I44:L44"/>
    <mergeCell ref="B1:G1"/>
    <mergeCell ref="B2:E2"/>
    <mergeCell ref="I1:N1"/>
    <mergeCell ref="I2:L2"/>
    <mergeCell ref="B43:G43"/>
    <mergeCell ref="I43:N43"/>
  </mergeCells>
  <phoneticPr fontId="16" type="noConversion"/>
  <dataValidations count="11">
    <dataValidation type="list" allowBlank="1" showInputMessage="1" showErrorMessage="1" sqref="D6" xr:uid="{C4F95B49-23BD-45FA-A9C8-311B403D98B7}">
      <formula1>$R$31:$R$32</formula1>
    </dataValidation>
    <dataValidation type="list" allowBlank="1" showInputMessage="1" showErrorMessage="1" sqref="E6" xr:uid="{B5E16270-6578-40A3-8AB7-73260C16CFF8}">
      <formula1>$U$31:$U$33</formula1>
    </dataValidation>
    <dataValidation type="list" allowBlank="1" showInputMessage="1" showErrorMessage="1" sqref="F6" xr:uid="{429EE137-83CD-407B-A696-9C9563D656B7}">
      <formula1>$V$31:$V$32</formula1>
    </dataValidation>
    <dataValidation type="list" allowBlank="1" showInputMessage="1" showErrorMessage="1" sqref="A6" xr:uid="{044FE36E-CC18-40FB-A624-E3725ABCEC4C}">
      <formula1>$P$31:$P$33</formula1>
    </dataValidation>
    <dataValidation type="list" allowBlank="1" showInputMessage="1" showErrorMessage="1" sqref="I5" xr:uid="{9CE8B39D-95F6-4C49-9410-43E5BC4A4935}">
      <formula1>$Q$31:$Q$33</formula1>
    </dataValidation>
    <dataValidation type="list" allowBlank="1" showInputMessage="1" showErrorMessage="1" sqref="J5" xr:uid="{260848B7-EA81-489A-8ADB-7AB45F13B251}">
      <formula1>$W$31:$W$32</formula1>
    </dataValidation>
    <dataValidation type="list" allowBlank="1" showInputMessage="1" showErrorMessage="1" sqref="C6" xr:uid="{3271018D-BE19-4B29-A201-83D8E47F6F3B}">
      <formula1>$P$36:$P$40</formula1>
    </dataValidation>
    <dataValidation type="list" allowBlank="1" showInputMessage="1" showErrorMessage="1" sqref="D52" xr:uid="{7BD9493D-2762-4688-9116-883CAB5CF569}">
      <formula1>$P$68:$P$74</formula1>
    </dataValidation>
    <dataValidation type="list" allowBlank="1" showInputMessage="1" showErrorMessage="1" sqref="E52" xr:uid="{74E40C36-9A7C-41E3-899C-FAA7A2CDE0AB}">
      <formula1>$S$77:$S$78</formula1>
    </dataValidation>
    <dataValidation type="list" allowBlank="1" showInputMessage="1" showErrorMessage="1" sqref="J48:J49" xr:uid="{CAF60101-4769-4CFB-8F56-CABC17634677}">
      <formula1>$U$47:$U$49</formula1>
    </dataValidation>
    <dataValidation type="list" showInputMessage="1" showErrorMessage="1" sqref="E18" xr:uid="{28FFF532-8A76-43C7-9B0C-87E6523D1B0C}">
      <formula1>$W$36:$W$38</formula1>
    </dataValidation>
  </dataValidations>
  <pageMargins left="0.75" right="0.75" top="1" bottom="1" header="0.5" footer="0.5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EB96B-C697-4A36-BEC7-1AE9FC4A6285}">
  <dimension ref="A1:C101"/>
  <sheetViews>
    <sheetView workbookViewId="0">
      <selection activeCell="E6" sqref="E6"/>
    </sheetView>
  </sheetViews>
  <sheetFormatPr defaultRowHeight="15.75"/>
  <cols>
    <col min="1" max="1" width="11" style="96" bestFit="1" customWidth="1"/>
    <col min="2" max="2" width="11.625" style="96" bestFit="1" customWidth="1"/>
    <col min="3" max="3" width="9" style="96"/>
  </cols>
  <sheetData>
    <row r="1" spans="1:3">
      <c r="A1" s="96" t="s">
        <v>91</v>
      </c>
      <c r="B1" s="96" t="s">
        <v>92</v>
      </c>
      <c r="C1" s="96" t="s">
        <v>93</v>
      </c>
    </row>
    <row r="2" spans="1:3">
      <c r="A2" s="96">
        <v>10</v>
      </c>
      <c r="B2" s="97">
        <f>A2/Main!$F$62</f>
        <v>1.6165799578347118</v>
      </c>
      <c r="C2" s="97">
        <f>Main!$E$48/Main!$D$48*B2</f>
        <v>0.95647647505220446</v>
      </c>
    </row>
    <row r="3" spans="1:3">
      <c r="A3" s="96">
        <f>10+A2</f>
        <v>20</v>
      </c>
      <c r="B3" s="97">
        <f>A3/Main!$F$62</f>
        <v>3.2331599156694235</v>
      </c>
      <c r="C3" s="97">
        <f>Main!$E$48/Main!$D$48*B3</f>
        <v>1.9129529501044089</v>
      </c>
    </row>
    <row r="4" spans="1:3">
      <c r="A4" s="96">
        <f t="shared" ref="A4:A67" si="0">10+A3</f>
        <v>30</v>
      </c>
      <c r="B4" s="97">
        <f>A4/Main!$F$62</f>
        <v>4.8497398735041353</v>
      </c>
      <c r="C4" s="97">
        <f>Main!$E$48/Main!$D$48*B4</f>
        <v>2.8694294251566133</v>
      </c>
    </row>
    <row r="5" spans="1:3">
      <c r="A5" s="96">
        <f t="shared" si="0"/>
        <v>40</v>
      </c>
      <c r="B5" s="97">
        <f>A5/Main!$F$62</f>
        <v>6.466319831338847</v>
      </c>
      <c r="C5" s="97">
        <f>Main!$E$48/Main!$D$48*B5</f>
        <v>3.8259059002088178</v>
      </c>
    </row>
    <row r="6" spans="1:3">
      <c r="A6" s="96">
        <f t="shared" si="0"/>
        <v>50</v>
      </c>
      <c r="B6" s="97">
        <f>A6/Main!$F$62</f>
        <v>8.0828997891735597</v>
      </c>
      <c r="C6" s="97">
        <f>Main!$E$48/Main!$D$48*B6</f>
        <v>4.7823823752610233</v>
      </c>
    </row>
    <row r="7" spans="1:3">
      <c r="A7" s="96">
        <f t="shared" si="0"/>
        <v>60</v>
      </c>
      <c r="B7" s="97">
        <f>A7/Main!$F$62</f>
        <v>9.6994797470082705</v>
      </c>
      <c r="C7" s="97">
        <f>Main!$E$48/Main!$D$48*B7</f>
        <v>5.7388588503132265</v>
      </c>
    </row>
    <row r="8" spans="1:3">
      <c r="A8" s="96">
        <f t="shared" si="0"/>
        <v>70</v>
      </c>
      <c r="B8" s="97">
        <f>A8/Main!$F$62</f>
        <v>11.316059704842983</v>
      </c>
      <c r="C8" s="97">
        <f>Main!$E$48/Main!$D$48*B8</f>
        <v>6.6953353253654315</v>
      </c>
    </row>
    <row r="9" spans="1:3">
      <c r="A9" s="96">
        <f t="shared" si="0"/>
        <v>80</v>
      </c>
      <c r="B9" s="97">
        <f>A9/Main!$F$62</f>
        <v>12.932639662677694</v>
      </c>
      <c r="C9" s="97">
        <f>Main!$E$48/Main!$D$48*B9</f>
        <v>7.6518118004176356</v>
      </c>
    </row>
    <row r="10" spans="1:3">
      <c r="A10" s="96">
        <f t="shared" si="0"/>
        <v>90</v>
      </c>
      <c r="B10" s="97">
        <f>A10/Main!$F$62</f>
        <v>14.549219620512407</v>
      </c>
      <c r="C10" s="97">
        <f>Main!$E$48/Main!$D$48*B10</f>
        <v>8.6082882754698407</v>
      </c>
    </row>
    <row r="11" spans="1:3">
      <c r="A11" s="96">
        <f t="shared" si="0"/>
        <v>100</v>
      </c>
      <c r="B11" s="97">
        <f>A11/Main!$F$62</f>
        <v>16.165799578347119</v>
      </c>
      <c r="C11" s="97">
        <f>Main!$E$48/Main!$D$48*B11</f>
        <v>9.5647647505220466</v>
      </c>
    </row>
    <row r="12" spans="1:3">
      <c r="A12" s="96">
        <f t="shared" si="0"/>
        <v>110</v>
      </c>
      <c r="B12" s="97">
        <f>A12/Main!$F$62</f>
        <v>17.782379536181828</v>
      </c>
      <c r="C12" s="97">
        <f>Main!$E$48/Main!$D$48*B12</f>
        <v>10.521241225574249</v>
      </c>
    </row>
    <row r="13" spans="1:3">
      <c r="A13" s="96">
        <f t="shared" si="0"/>
        <v>120</v>
      </c>
      <c r="B13" s="97">
        <f>A13/Main!$F$62</f>
        <v>19.398959494016541</v>
      </c>
      <c r="C13" s="97">
        <f>Main!$E$48/Main!$D$48*B13</f>
        <v>11.477717700626453</v>
      </c>
    </row>
    <row r="14" spans="1:3">
      <c r="A14" s="96">
        <f t="shared" si="0"/>
        <v>130</v>
      </c>
      <c r="B14" s="97">
        <f>A14/Main!$F$62</f>
        <v>21.015539451851254</v>
      </c>
      <c r="C14" s="97">
        <f>Main!$E$48/Main!$D$48*B14</f>
        <v>12.434194175678659</v>
      </c>
    </row>
    <row r="15" spans="1:3">
      <c r="A15" s="96">
        <f t="shared" si="0"/>
        <v>140</v>
      </c>
      <c r="B15" s="97">
        <f>A15/Main!$F$62</f>
        <v>22.632119409685966</v>
      </c>
      <c r="C15" s="97">
        <f>Main!$E$48/Main!$D$48*B15</f>
        <v>13.390670650730863</v>
      </c>
    </row>
    <row r="16" spans="1:3">
      <c r="A16" s="96">
        <f t="shared" si="0"/>
        <v>150</v>
      </c>
      <c r="B16" s="97">
        <f>A16/Main!$F$62</f>
        <v>24.248699367520675</v>
      </c>
      <c r="C16" s="97">
        <f>Main!$E$48/Main!$D$48*B16</f>
        <v>14.347147125783067</v>
      </c>
    </row>
    <row r="17" spans="1:3">
      <c r="A17" s="96">
        <f t="shared" si="0"/>
        <v>160</v>
      </c>
      <c r="B17" s="97">
        <f>A17/Main!$F$62</f>
        <v>25.865279325355388</v>
      </c>
      <c r="C17" s="97">
        <f>Main!$E$48/Main!$D$48*B17</f>
        <v>15.303623600835271</v>
      </c>
    </row>
    <row r="18" spans="1:3">
      <c r="A18" s="96">
        <f t="shared" si="0"/>
        <v>170</v>
      </c>
      <c r="B18" s="97">
        <f>A18/Main!$F$62</f>
        <v>27.481859283190101</v>
      </c>
      <c r="C18" s="97">
        <f>Main!$E$48/Main!$D$48*B18</f>
        <v>16.260100075887475</v>
      </c>
    </row>
    <row r="19" spans="1:3">
      <c r="A19" s="96">
        <f t="shared" si="0"/>
        <v>180</v>
      </c>
      <c r="B19" s="97">
        <f>A19/Main!$F$62</f>
        <v>29.098439241024813</v>
      </c>
      <c r="C19" s="97">
        <f>Main!$E$48/Main!$D$48*B19</f>
        <v>17.216576550939681</v>
      </c>
    </row>
    <row r="20" spans="1:3">
      <c r="A20" s="96">
        <f t="shared" si="0"/>
        <v>190</v>
      </c>
      <c r="B20" s="97">
        <f>A20/Main!$F$62</f>
        <v>30.715019198859522</v>
      </c>
      <c r="C20" s="97">
        <f>Main!$E$48/Main!$D$48*B20</f>
        <v>18.173053025991884</v>
      </c>
    </row>
    <row r="21" spans="1:3">
      <c r="A21" s="96">
        <f t="shared" si="0"/>
        <v>200</v>
      </c>
      <c r="B21" s="97">
        <f>A21/Main!$F$62</f>
        <v>32.331599156694239</v>
      </c>
      <c r="C21" s="97">
        <f>Main!$E$48/Main!$D$48*B21</f>
        <v>19.129529501044093</v>
      </c>
    </row>
    <row r="22" spans="1:3">
      <c r="A22" s="96">
        <f t="shared" si="0"/>
        <v>210</v>
      </c>
      <c r="B22" s="97">
        <f>A22/Main!$F$62</f>
        <v>33.948179114528948</v>
      </c>
      <c r="C22" s="97">
        <f>Main!$E$48/Main!$D$48*B22</f>
        <v>20.086005976096295</v>
      </c>
    </row>
    <row r="23" spans="1:3">
      <c r="A23" s="96">
        <f t="shared" si="0"/>
        <v>220</v>
      </c>
      <c r="B23" s="97">
        <f>A23/Main!$F$62</f>
        <v>35.564759072363657</v>
      </c>
      <c r="C23" s="97">
        <f>Main!$E$48/Main!$D$48*B23</f>
        <v>21.042482451148498</v>
      </c>
    </row>
    <row r="24" spans="1:3">
      <c r="A24" s="96">
        <f t="shared" si="0"/>
        <v>230</v>
      </c>
      <c r="B24" s="97">
        <f>A24/Main!$F$62</f>
        <v>37.181339030198373</v>
      </c>
      <c r="C24" s="97">
        <f>Main!$E$48/Main!$D$48*B24</f>
        <v>21.998958926200704</v>
      </c>
    </row>
    <row r="25" spans="1:3">
      <c r="A25" s="96">
        <f t="shared" si="0"/>
        <v>240</v>
      </c>
      <c r="B25" s="97">
        <f>A25/Main!$F$62</f>
        <v>38.797918988033082</v>
      </c>
      <c r="C25" s="97">
        <f>Main!$E$48/Main!$D$48*B25</f>
        <v>22.955435401252906</v>
      </c>
    </row>
    <row r="26" spans="1:3">
      <c r="A26" s="96">
        <f t="shared" si="0"/>
        <v>250</v>
      </c>
      <c r="B26" s="97">
        <f>A26/Main!$F$62</f>
        <v>40.414498945867791</v>
      </c>
      <c r="C26" s="97">
        <f>Main!$E$48/Main!$D$48*B26</f>
        <v>23.911911876305108</v>
      </c>
    </row>
    <row r="27" spans="1:3">
      <c r="A27" s="96">
        <f t="shared" si="0"/>
        <v>260</v>
      </c>
      <c r="B27" s="97">
        <f>A27/Main!$F$62</f>
        <v>42.031078903702507</v>
      </c>
      <c r="C27" s="97">
        <f>Main!$E$48/Main!$D$48*B27</f>
        <v>24.868388351357318</v>
      </c>
    </row>
    <row r="28" spans="1:3">
      <c r="A28" s="96">
        <f t="shared" si="0"/>
        <v>270</v>
      </c>
      <c r="B28" s="97">
        <f>A28/Main!$F$62</f>
        <v>43.647658861537217</v>
      </c>
      <c r="C28" s="97">
        <f>Main!$E$48/Main!$D$48*B28</f>
        <v>25.82486482640952</v>
      </c>
    </row>
    <row r="29" spans="1:3">
      <c r="A29" s="96">
        <f t="shared" si="0"/>
        <v>280</v>
      </c>
      <c r="B29" s="97">
        <f>A29/Main!$F$62</f>
        <v>45.264238819371933</v>
      </c>
      <c r="C29" s="97">
        <f>Main!$E$48/Main!$D$48*B29</f>
        <v>26.781341301461726</v>
      </c>
    </row>
    <row r="30" spans="1:3">
      <c r="A30" s="96">
        <f t="shared" si="0"/>
        <v>290</v>
      </c>
      <c r="B30" s="97">
        <f>A30/Main!$F$62</f>
        <v>46.880818777206642</v>
      </c>
      <c r="C30" s="97">
        <f>Main!$E$48/Main!$D$48*B30</f>
        <v>27.737817776513928</v>
      </c>
    </row>
    <row r="31" spans="1:3">
      <c r="A31" s="96">
        <f t="shared" si="0"/>
        <v>300</v>
      </c>
      <c r="B31" s="97">
        <f>A31/Main!$F$62</f>
        <v>48.497398735041351</v>
      </c>
      <c r="C31" s="97">
        <f>Main!$E$48/Main!$D$48*B31</f>
        <v>28.694294251566134</v>
      </c>
    </row>
    <row r="32" spans="1:3">
      <c r="A32" s="96">
        <f t="shared" si="0"/>
        <v>310</v>
      </c>
      <c r="B32" s="97">
        <f>A32/Main!$F$62</f>
        <v>50.113978692876067</v>
      </c>
      <c r="C32" s="97">
        <f>Main!$E$48/Main!$D$48*B32</f>
        <v>29.65077072661834</v>
      </c>
    </row>
    <row r="33" spans="1:3">
      <c r="A33" s="96">
        <f t="shared" si="0"/>
        <v>320</v>
      </c>
      <c r="B33" s="97">
        <f>A33/Main!$F$62</f>
        <v>51.730558650710776</v>
      </c>
      <c r="C33" s="97">
        <f>Main!$E$48/Main!$D$48*B33</f>
        <v>30.607247201670543</v>
      </c>
    </row>
    <row r="34" spans="1:3">
      <c r="A34" s="96">
        <f t="shared" si="0"/>
        <v>330</v>
      </c>
      <c r="B34" s="97">
        <f>A34/Main!$F$62</f>
        <v>53.347138608545492</v>
      </c>
      <c r="C34" s="97">
        <f>Main!$E$48/Main!$D$48*B34</f>
        <v>31.563723676722748</v>
      </c>
    </row>
    <row r="35" spans="1:3">
      <c r="A35" s="96">
        <f t="shared" si="0"/>
        <v>340</v>
      </c>
      <c r="B35" s="97">
        <f>A35/Main!$F$62</f>
        <v>54.963718566380201</v>
      </c>
      <c r="C35" s="97">
        <f>Main!$E$48/Main!$D$48*B35</f>
        <v>32.520200151774951</v>
      </c>
    </row>
    <row r="36" spans="1:3">
      <c r="A36" s="96">
        <f t="shared" si="0"/>
        <v>350</v>
      </c>
      <c r="B36" s="97">
        <f>A36/Main!$F$62</f>
        <v>56.580298524214911</v>
      </c>
      <c r="C36" s="97">
        <f>Main!$E$48/Main!$D$48*B36</f>
        <v>33.476676626827157</v>
      </c>
    </row>
    <row r="37" spans="1:3">
      <c r="A37" s="96">
        <f t="shared" si="0"/>
        <v>360</v>
      </c>
      <c r="B37" s="97">
        <f>A37/Main!$F$62</f>
        <v>58.196878482049627</v>
      </c>
      <c r="C37" s="97">
        <f>Main!$E$48/Main!$D$48*B37</f>
        <v>34.433153101879363</v>
      </c>
    </row>
    <row r="38" spans="1:3">
      <c r="A38" s="96">
        <f t="shared" si="0"/>
        <v>370</v>
      </c>
      <c r="B38" s="97">
        <f>A38/Main!$F$62</f>
        <v>59.813458439884336</v>
      </c>
      <c r="C38" s="97">
        <f>Main!$E$48/Main!$D$48*B38</f>
        <v>35.389629576931569</v>
      </c>
    </row>
    <row r="39" spans="1:3">
      <c r="A39" s="96">
        <f t="shared" si="0"/>
        <v>380</v>
      </c>
      <c r="B39" s="97">
        <f>A39/Main!$F$62</f>
        <v>61.430038397719045</v>
      </c>
      <c r="C39" s="97">
        <f>Main!$E$48/Main!$D$48*B39</f>
        <v>36.346106051983767</v>
      </c>
    </row>
    <row r="40" spans="1:3">
      <c r="A40" s="96">
        <f t="shared" si="0"/>
        <v>390</v>
      </c>
      <c r="B40" s="97">
        <f>A40/Main!$F$62</f>
        <v>63.046618355553761</v>
      </c>
      <c r="C40" s="97">
        <f>Main!$E$48/Main!$D$48*B40</f>
        <v>37.302582527035973</v>
      </c>
    </row>
    <row r="41" spans="1:3">
      <c r="A41" s="96">
        <f t="shared" si="0"/>
        <v>400</v>
      </c>
      <c r="B41" s="97">
        <f>A41/Main!$F$62</f>
        <v>64.663198313388477</v>
      </c>
      <c r="C41" s="97">
        <f>Main!$E$48/Main!$D$48*B41</f>
        <v>38.259059002088186</v>
      </c>
    </row>
    <row r="42" spans="1:3">
      <c r="A42" s="96">
        <f t="shared" si="0"/>
        <v>410</v>
      </c>
      <c r="B42" s="97">
        <f>A42/Main!$F$62</f>
        <v>66.279778271223179</v>
      </c>
      <c r="C42" s="97">
        <f>Main!$E$48/Main!$D$48*B42</f>
        <v>39.215535477140385</v>
      </c>
    </row>
    <row r="43" spans="1:3">
      <c r="A43" s="96">
        <f t="shared" si="0"/>
        <v>420</v>
      </c>
      <c r="B43" s="97">
        <f>A43/Main!$F$62</f>
        <v>67.896358229057896</v>
      </c>
      <c r="C43" s="97">
        <f>Main!$E$48/Main!$D$48*B43</f>
        <v>40.172011952192591</v>
      </c>
    </row>
    <row r="44" spans="1:3">
      <c r="A44" s="96">
        <f t="shared" si="0"/>
        <v>430</v>
      </c>
      <c r="B44" s="97">
        <f>A44/Main!$F$62</f>
        <v>69.512938186892612</v>
      </c>
      <c r="C44" s="97">
        <f>Main!$E$48/Main!$D$48*B44</f>
        <v>41.128488427244797</v>
      </c>
    </row>
    <row r="45" spans="1:3">
      <c r="A45" s="96">
        <f t="shared" si="0"/>
        <v>440</v>
      </c>
      <c r="B45" s="97">
        <f>A45/Main!$F$62</f>
        <v>71.129518144727314</v>
      </c>
      <c r="C45" s="97">
        <f>Main!$E$48/Main!$D$48*B45</f>
        <v>42.084964902296996</v>
      </c>
    </row>
    <row r="46" spans="1:3">
      <c r="A46" s="96">
        <f t="shared" si="0"/>
        <v>450</v>
      </c>
      <c r="B46" s="97">
        <f>A46/Main!$F$62</f>
        <v>72.74609810256203</v>
      </c>
      <c r="C46" s="97">
        <f>Main!$E$48/Main!$D$48*B46</f>
        <v>43.041441377349202</v>
      </c>
    </row>
    <row r="47" spans="1:3">
      <c r="A47" s="96">
        <f t="shared" si="0"/>
        <v>460</v>
      </c>
      <c r="B47" s="97">
        <f>A47/Main!$F$62</f>
        <v>74.362678060396746</v>
      </c>
      <c r="C47" s="97">
        <f>Main!$E$48/Main!$D$48*B47</f>
        <v>43.997917852401407</v>
      </c>
    </row>
    <row r="48" spans="1:3">
      <c r="A48" s="96">
        <f t="shared" si="0"/>
        <v>470</v>
      </c>
      <c r="B48" s="97">
        <f>A48/Main!$F$62</f>
        <v>75.979258018231448</v>
      </c>
      <c r="C48" s="97">
        <f>Main!$E$48/Main!$D$48*B48</f>
        <v>44.954394327453606</v>
      </c>
    </row>
    <row r="49" spans="1:3">
      <c r="A49" s="96">
        <f t="shared" si="0"/>
        <v>480</v>
      </c>
      <c r="B49" s="97">
        <f>A49/Main!$F$62</f>
        <v>77.595837976066164</v>
      </c>
      <c r="C49" s="97">
        <f>Main!$E$48/Main!$D$48*B49</f>
        <v>45.910870802505812</v>
      </c>
    </row>
    <row r="50" spans="1:3">
      <c r="A50" s="96">
        <f t="shared" si="0"/>
        <v>490</v>
      </c>
      <c r="B50" s="97">
        <f>A50/Main!$F$62</f>
        <v>79.21241793390088</v>
      </c>
      <c r="C50" s="97">
        <f>Main!$E$48/Main!$D$48*B50</f>
        <v>46.867347277558018</v>
      </c>
    </row>
    <row r="51" spans="1:3">
      <c r="A51" s="96">
        <f t="shared" si="0"/>
        <v>500</v>
      </c>
      <c r="B51" s="97">
        <f>A51/Main!$F$62</f>
        <v>80.828997891735582</v>
      </c>
      <c r="C51" s="97">
        <f>Main!$E$48/Main!$D$48*B51</f>
        <v>47.823823752610217</v>
      </c>
    </row>
    <row r="52" spans="1:3">
      <c r="A52" s="96">
        <f t="shared" si="0"/>
        <v>510</v>
      </c>
      <c r="B52" s="97">
        <f>A52/Main!$F$62</f>
        <v>82.445577849570299</v>
      </c>
      <c r="C52" s="97">
        <f>Main!$E$48/Main!$D$48*B52</f>
        <v>48.78030022766243</v>
      </c>
    </row>
    <row r="53" spans="1:3">
      <c r="A53" s="96">
        <f t="shared" si="0"/>
        <v>520</v>
      </c>
      <c r="B53" s="97">
        <f>A53/Main!$F$62</f>
        <v>84.062157807405015</v>
      </c>
      <c r="C53" s="97">
        <f>Main!$E$48/Main!$D$48*B53</f>
        <v>49.736776702714636</v>
      </c>
    </row>
    <row r="54" spans="1:3">
      <c r="A54" s="96">
        <f t="shared" si="0"/>
        <v>530</v>
      </c>
      <c r="B54" s="97">
        <f>A54/Main!$F$62</f>
        <v>85.678737765239731</v>
      </c>
      <c r="C54" s="97">
        <f>Main!$E$48/Main!$D$48*B54</f>
        <v>50.693253177766842</v>
      </c>
    </row>
    <row r="55" spans="1:3">
      <c r="A55" s="96">
        <f t="shared" si="0"/>
        <v>540</v>
      </c>
      <c r="B55" s="97">
        <f>A55/Main!$F$62</f>
        <v>87.295317723074433</v>
      </c>
      <c r="C55" s="97">
        <f>Main!$E$48/Main!$D$48*B55</f>
        <v>51.64972965281904</v>
      </c>
    </row>
    <row r="56" spans="1:3">
      <c r="A56" s="96">
        <f t="shared" si="0"/>
        <v>550</v>
      </c>
      <c r="B56" s="97">
        <f>A56/Main!$F$62</f>
        <v>88.911897680909149</v>
      </c>
      <c r="C56" s="97">
        <f>Main!$E$48/Main!$D$48*B56</f>
        <v>52.606206127871246</v>
      </c>
    </row>
    <row r="57" spans="1:3">
      <c r="A57" s="96">
        <f t="shared" si="0"/>
        <v>560</v>
      </c>
      <c r="B57" s="97">
        <f>A57/Main!$F$62</f>
        <v>90.528477638743865</v>
      </c>
      <c r="C57" s="97">
        <f>Main!$E$48/Main!$D$48*B57</f>
        <v>53.562682602923452</v>
      </c>
    </row>
    <row r="58" spans="1:3">
      <c r="A58" s="96">
        <f t="shared" si="0"/>
        <v>570</v>
      </c>
      <c r="B58" s="97">
        <f>A58/Main!$F$62</f>
        <v>92.145057596578567</v>
      </c>
      <c r="C58" s="97">
        <f>Main!$E$48/Main!$D$48*B58</f>
        <v>54.519159077975651</v>
      </c>
    </row>
    <row r="59" spans="1:3">
      <c r="A59" s="96">
        <f t="shared" si="0"/>
        <v>580</v>
      </c>
      <c r="B59" s="97">
        <f>A59/Main!$F$62</f>
        <v>93.761637554413284</v>
      </c>
      <c r="C59" s="97">
        <f>Main!$E$48/Main!$D$48*B59</f>
        <v>55.475635553027857</v>
      </c>
    </row>
    <row r="60" spans="1:3">
      <c r="A60" s="96">
        <f t="shared" si="0"/>
        <v>590</v>
      </c>
      <c r="B60" s="97">
        <f>A60/Main!$F$62</f>
        <v>95.378217512248</v>
      </c>
      <c r="C60" s="97">
        <f>Main!$E$48/Main!$D$48*B60</f>
        <v>56.43211202808007</v>
      </c>
    </row>
    <row r="61" spans="1:3">
      <c r="A61" s="96">
        <f t="shared" si="0"/>
        <v>600</v>
      </c>
      <c r="B61" s="97">
        <f>A61/Main!$F$62</f>
        <v>96.994797470082702</v>
      </c>
      <c r="C61" s="97">
        <f>Main!$E$48/Main!$D$48*B61</f>
        <v>57.388588503132269</v>
      </c>
    </row>
    <row r="62" spans="1:3">
      <c r="A62" s="96">
        <f t="shared" si="0"/>
        <v>610</v>
      </c>
      <c r="B62" s="97">
        <f>A62/Main!$F$62</f>
        <v>98.611377427917418</v>
      </c>
      <c r="C62" s="97">
        <f>Main!$E$48/Main!$D$48*B62</f>
        <v>58.345064978184475</v>
      </c>
    </row>
    <row r="63" spans="1:3">
      <c r="A63" s="96">
        <f t="shared" si="0"/>
        <v>620</v>
      </c>
      <c r="B63" s="97">
        <f>A63/Main!$F$62</f>
        <v>100.22795738575213</v>
      </c>
      <c r="C63" s="97">
        <f>Main!$E$48/Main!$D$48*B63</f>
        <v>59.30154145323668</v>
      </c>
    </row>
    <row r="64" spans="1:3">
      <c r="A64" s="96">
        <f t="shared" si="0"/>
        <v>630</v>
      </c>
      <c r="B64" s="97">
        <f>A64/Main!$F$62</f>
        <v>101.84453734358684</v>
      </c>
      <c r="C64" s="97">
        <f>Main!$E$48/Main!$D$48*B64</f>
        <v>60.258017928288879</v>
      </c>
    </row>
    <row r="65" spans="1:3">
      <c r="A65" s="96">
        <f t="shared" si="0"/>
        <v>640</v>
      </c>
      <c r="B65" s="97">
        <f>A65/Main!$F$62</f>
        <v>103.46111730142155</v>
      </c>
      <c r="C65" s="97">
        <f>Main!$E$48/Main!$D$48*B65</f>
        <v>61.214494403341085</v>
      </c>
    </row>
    <row r="66" spans="1:3">
      <c r="A66" s="96">
        <f t="shared" si="0"/>
        <v>650</v>
      </c>
      <c r="B66" s="97">
        <f>A66/Main!$F$62</f>
        <v>105.07769725925627</v>
      </c>
      <c r="C66" s="97">
        <f>Main!$E$48/Main!$D$48*B66</f>
        <v>62.170970878393291</v>
      </c>
    </row>
    <row r="67" spans="1:3">
      <c r="A67" s="96">
        <f t="shared" si="0"/>
        <v>660</v>
      </c>
      <c r="B67" s="97">
        <f>A67/Main!$F$62</f>
        <v>106.69427721709098</v>
      </c>
      <c r="C67" s="97">
        <f>Main!$E$48/Main!$D$48*B67</f>
        <v>63.127447353445497</v>
      </c>
    </row>
    <row r="68" spans="1:3">
      <c r="A68" s="96">
        <f t="shared" ref="A68:A101" si="1">10+A67</f>
        <v>670</v>
      </c>
      <c r="B68" s="97">
        <f>A68/Main!$F$62</f>
        <v>108.31085717492569</v>
      </c>
      <c r="C68" s="97">
        <f>Main!$E$48/Main!$D$48*B68</f>
        <v>64.083923828497703</v>
      </c>
    </row>
    <row r="69" spans="1:3">
      <c r="A69" s="96">
        <f t="shared" si="1"/>
        <v>680</v>
      </c>
      <c r="B69" s="97">
        <f>A69/Main!$F$62</f>
        <v>109.9274371327604</v>
      </c>
      <c r="C69" s="97">
        <f>Main!$E$48/Main!$D$48*B69</f>
        <v>65.040400303549902</v>
      </c>
    </row>
    <row r="70" spans="1:3">
      <c r="A70" s="96">
        <f t="shared" si="1"/>
        <v>690</v>
      </c>
      <c r="B70" s="97">
        <f>A70/Main!$F$62</f>
        <v>111.54401709059512</v>
      </c>
      <c r="C70" s="97">
        <f>Main!$E$48/Main!$D$48*B70</f>
        <v>65.996876778602115</v>
      </c>
    </row>
    <row r="71" spans="1:3">
      <c r="A71" s="96">
        <f t="shared" si="1"/>
        <v>700</v>
      </c>
      <c r="B71" s="97">
        <f>A71/Main!$F$62</f>
        <v>113.16059704842982</v>
      </c>
      <c r="C71" s="97">
        <f>Main!$E$48/Main!$D$48*B71</f>
        <v>66.953353253654313</v>
      </c>
    </row>
    <row r="72" spans="1:3">
      <c r="A72" s="96">
        <f t="shared" si="1"/>
        <v>710</v>
      </c>
      <c r="B72" s="97">
        <f>A72/Main!$F$62</f>
        <v>114.77717700626454</v>
      </c>
      <c r="C72" s="97">
        <f>Main!$E$48/Main!$D$48*B72</f>
        <v>67.909829728706512</v>
      </c>
    </row>
    <row r="73" spans="1:3">
      <c r="A73" s="96">
        <f t="shared" si="1"/>
        <v>720</v>
      </c>
      <c r="B73" s="97">
        <f>A73/Main!$F$62</f>
        <v>116.39375696409925</v>
      </c>
      <c r="C73" s="97">
        <f>Main!$E$48/Main!$D$48*B73</f>
        <v>68.866306203758725</v>
      </c>
    </row>
    <row r="74" spans="1:3">
      <c r="A74" s="96">
        <f t="shared" si="1"/>
        <v>730</v>
      </c>
      <c r="B74" s="97">
        <f>A74/Main!$F$62</f>
        <v>118.01033692193396</v>
      </c>
      <c r="C74" s="97">
        <f>Main!$E$48/Main!$D$48*B74</f>
        <v>69.822782678810924</v>
      </c>
    </row>
    <row r="75" spans="1:3">
      <c r="A75" s="96">
        <f t="shared" si="1"/>
        <v>740</v>
      </c>
      <c r="B75" s="97">
        <f>A75/Main!$F$62</f>
        <v>119.62691687976867</v>
      </c>
      <c r="C75" s="97">
        <f>Main!$E$48/Main!$D$48*B75</f>
        <v>70.779259153863137</v>
      </c>
    </row>
    <row r="76" spans="1:3">
      <c r="A76" s="96">
        <f t="shared" si="1"/>
        <v>750</v>
      </c>
      <c r="B76" s="97">
        <f>A76/Main!$F$62</f>
        <v>121.24349683760339</v>
      </c>
      <c r="C76" s="97">
        <f>Main!$E$48/Main!$D$48*B76</f>
        <v>71.735735628915336</v>
      </c>
    </row>
    <row r="77" spans="1:3">
      <c r="A77" s="96">
        <f t="shared" si="1"/>
        <v>760</v>
      </c>
      <c r="B77" s="97">
        <f>A77/Main!$F$62</f>
        <v>122.86007679543809</v>
      </c>
      <c r="C77" s="97">
        <f>Main!$E$48/Main!$D$48*B77</f>
        <v>72.692212103967535</v>
      </c>
    </row>
    <row r="78" spans="1:3">
      <c r="A78" s="96">
        <f t="shared" si="1"/>
        <v>770</v>
      </c>
      <c r="B78" s="97">
        <f>A78/Main!$F$62</f>
        <v>124.47665675327281</v>
      </c>
      <c r="C78" s="97">
        <f>Main!$E$48/Main!$D$48*B78</f>
        <v>73.648688579019748</v>
      </c>
    </row>
    <row r="79" spans="1:3">
      <c r="A79" s="96">
        <f t="shared" si="1"/>
        <v>780</v>
      </c>
      <c r="B79" s="97">
        <f>A79/Main!$F$62</f>
        <v>126.09323671110752</v>
      </c>
      <c r="C79" s="97">
        <f>Main!$E$48/Main!$D$48*B79</f>
        <v>74.605165054071946</v>
      </c>
    </row>
    <row r="80" spans="1:3">
      <c r="A80" s="96">
        <f t="shared" si="1"/>
        <v>790</v>
      </c>
      <c r="B80" s="97">
        <f>A80/Main!$F$62</f>
        <v>127.70981666894224</v>
      </c>
      <c r="C80" s="97">
        <f>Main!$E$48/Main!$D$48*B80</f>
        <v>75.561641529124159</v>
      </c>
    </row>
    <row r="81" spans="1:3">
      <c r="A81" s="96">
        <f t="shared" si="1"/>
        <v>800</v>
      </c>
      <c r="B81" s="97">
        <f>A81/Main!$F$62</f>
        <v>129.32639662677695</v>
      </c>
      <c r="C81" s="97">
        <f>Main!$E$48/Main!$D$48*B81</f>
        <v>76.518118004176372</v>
      </c>
    </row>
    <row r="82" spans="1:3">
      <c r="A82" s="96">
        <f t="shared" si="1"/>
        <v>810</v>
      </c>
      <c r="B82" s="97">
        <f>A82/Main!$F$62</f>
        <v>130.94297658461164</v>
      </c>
      <c r="C82" s="97">
        <f>Main!$E$48/Main!$D$48*B82</f>
        <v>77.474594479228557</v>
      </c>
    </row>
    <row r="83" spans="1:3">
      <c r="A83" s="96">
        <f t="shared" si="1"/>
        <v>820</v>
      </c>
      <c r="B83" s="97">
        <f>A83/Main!$F$62</f>
        <v>132.55955654244636</v>
      </c>
      <c r="C83" s="97">
        <f>Main!$E$48/Main!$D$48*B83</f>
        <v>78.43107095428077</v>
      </c>
    </row>
    <row r="84" spans="1:3">
      <c r="A84" s="96">
        <f t="shared" si="1"/>
        <v>830</v>
      </c>
      <c r="B84" s="97">
        <f>A84/Main!$F$62</f>
        <v>134.17613650028107</v>
      </c>
      <c r="C84" s="97">
        <f>Main!$E$48/Main!$D$48*B84</f>
        <v>79.387547429332969</v>
      </c>
    </row>
    <row r="85" spans="1:3">
      <c r="A85" s="96">
        <f t="shared" si="1"/>
        <v>840</v>
      </c>
      <c r="B85" s="97">
        <f>A85/Main!$F$62</f>
        <v>135.79271645811579</v>
      </c>
      <c r="C85" s="97">
        <f>Main!$E$48/Main!$D$48*B85</f>
        <v>80.344023904385182</v>
      </c>
    </row>
    <row r="86" spans="1:3">
      <c r="A86" s="96">
        <f t="shared" si="1"/>
        <v>850</v>
      </c>
      <c r="B86" s="97">
        <f>A86/Main!$F$62</f>
        <v>137.40929641595051</v>
      </c>
      <c r="C86" s="97">
        <f>Main!$E$48/Main!$D$48*B86</f>
        <v>81.300500379437381</v>
      </c>
    </row>
    <row r="87" spans="1:3">
      <c r="A87" s="96">
        <f t="shared" si="1"/>
        <v>860</v>
      </c>
      <c r="B87" s="97">
        <f>A87/Main!$F$62</f>
        <v>139.02587637378522</v>
      </c>
      <c r="C87" s="97">
        <f>Main!$E$48/Main!$D$48*B87</f>
        <v>82.256976854489594</v>
      </c>
    </row>
    <row r="88" spans="1:3">
      <c r="A88" s="96">
        <f t="shared" si="1"/>
        <v>870</v>
      </c>
      <c r="B88" s="97">
        <f>A88/Main!$F$62</f>
        <v>140.64245633161994</v>
      </c>
      <c r="C88" s="97">
        <f>Main!$E$48/Main!$D$48*B88</f>
        <v>83.213453329541792</v>
      </c>
    </row>
    <row r="89" spans="1:3">
      <c r="A89" s="96">
        <f t="shared" si="1"/>
        <v>880</v>
      </c>
      <c r="B89" s="97">
        <f>A89/Main!$F$62</f>
        <v>142.25903628945463</v>
      </c>
      <c r="C89" s="97">
        <f>Main!$E$48/Main!$D$48*B89</f>
        <v>84.169929804593991</v>
      </c>
    </row>
    <row r="90" spans="1:3">
      <c r="A90" s="96">
        <f t="shared" si="1"/>
        <v>890</v>
      </c>
      <c r="B90" s="97">
        <f>A90/Main!$F$62</f>
        <v>143.87561624728934</v>
      </c>
      <c r="C90" s="97">
        <f>Main!$E$48/Main!$D$48*B90</f>
        <v>85.12640627964619</v>
      </c>
    </row>
    <row r="91" spans="1:3">
      <c r="A91" s="96">
        <f t="shared" si="1"/>
        <v>900</v>
      </c>
      <c r="B91" s="97">
        <f>A91/Main!$F$62</f>
        <v>145.49219620512406</v>
      </c>
      <c r="C91" s="97">
        <f>Main!$E$48/Main!$D$48*B91</f>
        <v>86.082882754698403</v>
      </c>
    </row>
    <row r="92" spans="1:3">
      <c r="A92" s="96">
        <f t="shared" si="1"/>
        <v>910</v>
      </c>
      <c r="B92" s="97">
        <f>A92/Main!$F$62</f>
        <v>147.10877616295878</v>
      </c>
      <c r="C92" s="97">
        <f>Main!$E$48/Main!$D$48*B92</f>
        <v>87.039359229750616</v>
      </c>
    </row>
    <row r="93" spans="1:3">
      <c r="A93" s="96">
        <f t="shared" si="1"/>
        <v>920</v>
      </c>
      <c r="B93" s="97">
        <f>A93/Main!$F$62</f>
        <v>148.72535612079349</v>
      </c>
      <c r="C93" s="97">
        <f>Main!$E$48/Main!$D$48*B93</f>
        <v>87.995835704802815</v>
      </c>
    </row>
    <row r="94" spans="1:3">
      <c r="A94" s="96">
        <f t="shared" si="1"/>
        <v>930</v>
      </c>
      <c r="B94" s="97">
        <f>A94/Main!$F$62</f>
        <v>150.34193607862821</v>
      </c>
      <c r="C94" s="97">
        <f>Main!$E$48/Main!$D$48*B94</f>
        <v>88.952312179855028</v>
      </c>
    </row>
    <row r="95" spans="1:3">
      <c r="A95" s="96">
        <f t="shared" si="1"/>
        <v>940</v>
      </c>
      <c r="B95" s="97">
        <f>A95/Main!$F$62</f>
        <v>151.9585160364629</v>
      </c>
      <c r="C95" s="97">
        <f>Main!$E$48/Main!$D$48*B95</f>
        <v>89.908788654907212</v>
      </c>
    </row>
    <row r="96" spans="1:3">
      <c r="A96" s="96">
        <f t="shared" si="1"/>
        <v>950</v>
      </c>
      <c r="B96" s="97">
        <f>A96/Main!$F$62</f>
        <v>153.57509599429761</v>
      </c>
      <c r="C96" s="97">
        <f>Main!$E$48/Main!$D$48*B96</f>
        <v>90.865265129959425</v>
      </c>
    </row>
    <row r="97" spans="1:3">
      <c r="A97" s="96">
        <f t="shared" si="1"/>
        <v>960</v>
      </c>
      <c r="B97" s="97">
        <f>A97/Main!$F$62</f>
        <v>155.19167595213233</v>
      </c>
      <c r="C97" s="97">
        <f>Main!$E$48/Main!$D$48*B97</f>
        <v>91.821741605011624</v>
      </c>
    </row>
    <row r="98" spans="1:3">
      <c r="A98" s="96">
        <f t="shared" si="1"/>
        <v>970</v>
      </c>
      <c r="B98" s="97">
        <f>A98/Main!$F$62</f>
        <v>156.80825590996704</v>
      </c>
      <c r="C98" s="97">
        <f>Main!$E$48/Main!$D$48*B98</f>
        <v>92.778218080063837</v>
      </c>
    </row>
    <row r="99" spans="1:3">
      <c r="A99" s="96">
        <f t="shared" si="1"/>
        <v>980</v>
      </c>
      <c r="B99" s="97">
        <f>A99/Main!$F$62</f>
        <v>158.42483586780176</v>
      </c>
      <c r="C99" s="97">
        <f>Main!$E$48/Main!$D$48*B99</f>
        <v>93.734694555116036</v>
      </c>
    </row>
    <row r="100" spans="1:3">
      <c r="A100" s="96">
        <f t="shared" si="1"/>
        <v>990</v>
      </c>
      <c r="B100" s="97">
        <f>A100/Main!$F$62</f>
        <v>160.04141582563648</v>
      </c>
      <c r="C100" s="97">
        <f>Main!$E$48/Main!$D$48*B100</f>
        <v>94.691171030168249</v>
      </c>
    </row>
    <row r="101" spans="1:3">
      <c r="A101" s="96">
        <f t="shared" si="1"/>
        <v>1000</v>
      </c>
      <c r="B101" s="97">
        <f>A101/Main!$F$62</f>
        <v>161.65799578347116</v>
      </c>
      <c r="C101" s="97">
        <f>Main!$E$48/Main!$D$48*B101</f>
        <v>95.647647505220434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2B0E3-A0AD-40E9-9EED-E716430F0B16}">
  <dimension ref="A1:C101"/>
  <sheetViews>
    <sheetView workbookViewId="0">
      <selection activeCell="G16" sqref="G16"/>
    </sheetView>
  </sheetViews>
  <sheetFormatPr defaultRowHeight="15.75"/>
  <sheetData>
    <row r="1" spans="1:3">
      <c r="A1" t="s">
        <v>148</v>
      </c>
      <c r="B1" t="s">
        <v>149</v>
      </c>
      <c r="C1" t="s">
        <v>150</v>
      </c>
    </row>
    <row r="2" spans="1:3">
      <c r="A2">
        <v>14.477339958499346</v>
      </c>
      <c r="B2">
        <v>763.43667378217503</v>
      </c>
      <c r="C2">
        <v>-478.23823752610235</v>
      </c>
    </row>
    <row r="3" spans="1:3">
      <c r="A3">
        <v>28.954679916998693</v>
      </c>
      <c r="B3">
        <v>1526.8733475643501</v>
      </c>
      <c r="C3">
        <v>-956.47647505220471</v>
      </c>
    </row>
    <row r="4" spans="1:3">
      <c r="A4">
        <v>43.432019875498135</v>
      </c>
      <c r="B4">
        <v>2290.3100213465241</v>
      </c>
      <c r="C4">
        <v>-1434.7147125783069</v>
      </c>
    </row>
    <row r="5" spans="1:3">
      <c r="A5">
        <v>57.909359833997385</v>
      </c>
      <c r="B5">
        <v>3053.7466951287001</v>
      </c>
      <c r="C5">
        <v>-1912.9529501044094</v>
      </c>
    </row>
    <row r="6" spans="1:3">
      <c r="A6">
        <v>72.386699792497197</v>
      </c>
      <c r="B6">
        <v>3817.1833689108771</v>
      </c>
      <c r="C6">
        <v>-2391.1911876305116</v>
      </c>
    </row>
    <row r="7" spans="1:3">
      <c r="A7">
        <v>86.86403975099627</v>
      </c>
      <c r="B7">
        <v>4580.6200426930482</v>
      </c>
      <c r="C7">
        <v>-2869.4294251566139</v>
      </c>
    </row>
    <row r="8" spans="1:3">
      <c r="A8">
        <v>101.34137970949529</v>
      </c>
      <c r="B8">
        <v>5344.0567164752265</v>
      </c>
      <c r="C8">
        <v>-3347.6676626827166</v>
      </c>
    </row>
    <row r="9" spans="1:3">
      <c r="A9">
        <v>115.81871966799477</v>
      </c>
      <c r="B9">
        <v>6107.4933902574003</v>
      </c>
      <c r="C9">
        <v>-3825.9059002088188</v>
      </c>
    </row>
    <row r="10" spans="1:3">
      <c r="A10">
        <v>130.29605962649401</v>
      </c>
      <c r="B10">
        <v>6870.9300640395759</v>
      </c>
      <c r="C10">
        <v>-4304.144137734922</v>
      </c>
    </row>
    <row r="11" spans="1:3">
      <c r="A11">
        <v>144.77339958499439</v>
      </c>
      <c r="B11">
        <v>7634.3667378217542</v>
      </c>
      <c r="C11">
        <v>-4782.3823752610233</v>
      </c>
    </row>
    <row r="12" spans="1:3">
      <c r="A12">
        <v>159.25073954349301</v>
      </c>
      <c r="B12">
        <v>8397.8034116039271</v>
      </c>
      <c r="C12">
        <v>-5260.6206127871255</v>
      </c>
    </row>
    <row r="13" spans="1:3">
      <c r="A13">
        <v>173.72807950199254</v>
      </c>
      <c r="B13">
        <v>9161.2400853860963</v>
      </c>
      <c r="C13">
        <v>-5738.8588503132278</v>
      </c>
    </row>
    <row r="14" spans="1:3">
      <c r="A14">
        <v>188.20541946049195</v>
      </c>
      <c r="B14">
        <v>9924.6767591682692</v>
      </c>
      <c r="C14">
        <v>-6217.0970878393318</v>
      </c>
    </row>
    <row r="15" spans="1:3">
      <c r="A15">
        <v>202.68275941899057</v>
      </c>
      <c r="B15">
        <v>10688.113432950453</v>
      </c>
      <c r="C15">
        <v>-6695.3353253654332</v>
      </c>
    </row>
    <row r="16" spans="1:3">
      <c r="A16">
        <v>217.16009937749004</v>
      </c>
      <c r="B16">
        <v>11451.550106732628</v>
      </c>
      <c r="C16">
        <v>-7173.5735628915354</v>
      </c>
    </row>
    <row r="17" spans="1:3">
      <c r="A17">
        <v>231.63743933598954</v>
      </c>
      <c r="B17">
        <v>12214.986780514801</v>
      </c>
      <c r="C17">
        <v>-7651.8118004176376</v>
      </c>
    </row>
    <row r="18" spans="1:3">
      <c r="A18">
        <v>246.11477929448949</v>
      </c>
      <c r="B18">
        <v>12978.423454296975</v>
      </c>
      <c r="C18">
        <v>-8130.050037943739</v>
      </c>
    </row>
    <row r="19" spans="1:3">
      <c r="A19">
        <v>260.59211925298803</v>
      </c>
      <c r="B19">
        <v>13741.860128079152</v>
      </c>
      <c r="C19">
        <v>-8608.2882754698439</v>
      </c>
    </row>
    <row r="20" spans="1:3">
      <c r="A20">
        <v>275.06945921148895</v>
      </c>
      <c r="B20">
        <v>14505.296801861317</v>
      </c>
      <c r="C20">
        <v>-9086.5265129959425</v>
      </c>
    </row>
    <row r="21" spans="1:3">
      <c r="A21">
        <v>289.54679916998879</v>
      </c>
      <c r="B21">
        <v>15268.733475643508</v>
      </c>
      <c r="C21">
        <v>-9564.7647505220466</v>
      </c>
    </row>
    <row r="22" spans="1:3">
      <c r="A22">
        <v>304.02413912848789</v>
      </c>
      <c r="B22">
        <v>16032.170149425676</v>
      </c>
      <c r="C22">
        <v>-10043.002988048149</v>
      </c>
    </row>
    <row r="23" spans="1:3">
      <c r="A23">
        <v>318.50147908698602</v>
      </c>
      <c r="B23">
        <v>16795.606823207854</v>
      </c>
      <c r="C23">
        <v>-10521.241225574251</v>
      </c>
    </row>
    <row r="24" spans="1:3">
      <c r="A24">
        <v>332.97881904548677</v>
      </c>
      <c r="B24">
        <v>17559.043496990023</v>
      </c>
      <c r="C24">
        <v>-10999.479463100353</v>
      </c>
    </row>
    <row r="25" spans="1:3">
      <c r="A25">
        <v>347.45615900398508</v>
      </c>
      <c r="B25">
        <v>18322.480170772193</v>
      </c>
      <c r="C25">
        <v>-11477.717700626456</v>
      </c>
    </row>
    <row r="26" spans="1:3">
      <c r="A26">
        <v>361.93349896248498</v>
      </c>
      <c r="B26">
        <v>19085.91684455438</v>
      </c>
      <c r="C26">
        <v>-11955.955938152556</v>
      </c>
    </row>
    <row r="27" spans="1:3">
      <c r="A27">
        <v>376.41083892098391</v>
      </c>
      <c r="B27">
        <v>19849.353518336538</v>
      </c>
      <c r="C27">
        <v>-12434.194175678664</v>
      </c>
    </row>
    <row r="28" spans="1:3">
      <c r="A28">
        <v>390.88817887948488</v>
      </c>
      <c r="B28">
        <v>20612.790192118722</v>
      </c>
      <c r="C28">
        <v>-12912.432413204762</v>
      </c>
    </row>
    <row r="29" spans="1:3">
      <c r="A29">
        <v>405.36551883798114</v>
      </c>
      <c r="B29">
        <v>21376.226865900906</v>
      </c>
      <c r="C29">
        <v>-13390.670650730866</v>
      </c>
    </row>
    <row r="30" spans="1:3">
      <c r="A30">
        <v>419.8428587964811</v>
      </c>
      <c r="B30">
        <v>22139.663539683068</v>
      </c>
      <c r="C30">
        <v>-13868.908888256967</v>
      </c>
    </row>
    <row r="31" spans="1:3">
      <c r="A31">
        <v>434.32019875498008</v>
      </c>
      <c r="B31">
        <v>22903.100213465255</v>
      </c>
      <c r="C31">
        <v>-14347.147125783071</v>
      </c>
    </row>
    <row r="32" spans="1:3">
      <c r="A32">
        <v>448.79753871348186</v>
      </c>
      <c r="B32">
        <v>23666.536887247417</v>
      </c>
      <c r="C32">
        <v>-14825.385363309171</v>
      </c>
    </row>
    <row r="33" spans="1:3">
      <c r="A33">
        <v>463.27487867197908</v>
      </c>
      <c r="B33">
        <v>24429.973561029601</v>
      </c>
      <c r="C33">
        <v>-15303.623600835275</v>
      </c>
    </row>
    <row r="34" spans="1:3">
      <c r="A34">
        <v>477.75221863047898</v>
      </c>
      <c r="B34">
        <v>25193.41023481177</v>
      </c>
      <c r="C34">
        <v>-15781.861838361381</v>
      </c>
    </row>
    <row r="35" spans="1:3">
      <c r="A35">
        <v>492.22955858897899</v>
      </c>
      <c r="B35">
        <v>25956.846908593951</v>
      </c>
      <c r="C35">
        <v>-16260.100075887478</v>
      </c>
    </row>
    <row r="36" spans="1:3">
      <c r="A36">
        <v>506.7068985474798</v>
      </c>
      <c r="B36">
        <v>26720.283582376138</v>
      </c>
      <c r="C36">
        <v>-16738.338313413584</v>
      </c>
    </row>
    <row r="37" spans="1:3">
      <c r="A37">
        <v>521.18423850597605</v>
      </c>
      <c r="B37">
        <v>27483.720256158304</v>
      </c>
      <c r="C37">
        <v>-17216.576550939688</v>
      </c>
    </row>
    <row r="38" spans="1:3">
      <c r="A38">
        <v>535.66157846447777</v>
      </c>
      <c r="B38">
        <v>28247.156929940491</v>
      </c>
      <c r="C38">
        <v>-17694.814788465788</v>
      </c>
    </row>
    <row r="39" spans="1:3">
      <c r="A39">
        <v>550.13891842297789</v>
      </c>
      <c r="B39">
        <v>29010.593603722635</v>
      </c>
      <c r="C39">
        <v>-18173.053025991885</v>
      </c>
    </row>
    <row r="40" spans="1:3">
      <c r="A40">
        <v>564.61625838147609</v>
      </c>
      <c r="B40">
        <v>29774.030277504826</v>
      </c>
      <c r="C40">
        <v>-18651.291263517989</v>
      </c>
    </row>
    <row r="41" spans="1:3">
      <c r="A41">
        <v>579.09359833997758</v>
      </c>
      <c r="B41">
        <v>30537.466951287017</v>
      </c>
      <c r="C41">
        <v>-19129.529501044093</v>
      </c>
    </row>
    <row r="42" spans="1:3">
      <c r="A42">
        <v>593.57093829847577</v>
      </c>
      <c r="B42">
        <v>31300.903625069179</v>
      </c>
      <c r="C42">
        <v>-19607.767738570194</v>
      </c>
    </row>
    <row r="43" spans="1:3">
      <c r="A43">
        <v>608.04827825697578</v>
      </c>
      <c r="B43">
        <v>32064.340298851352</v>
      </c>
      <c r="C43">
        <v>-20086.005976096298</v>
      </c>
    </row>
    <row r="44" spans="1:3">
      <c r="A44">
        <v>622.52561821547192</v>
      </c>
      <c r="B44">
        <v>32827.776972633525</v>
      </c>
      <c r="C44">
        <v>-20564.244213622405</v>
      </c>
    </row>
    <row r="45" spans="1:3">
      <c r="A45">
        <v>637.00295817397205</v>
      </c>
      <c r="B45">
        <v>33591.213646415708</v>
      </c>
      <c r="C45">
        <v>-21042.482451148502</v>
      </c>
    </row>
    <row r="46" spans="1:3">
      <c r="A46">
        <v>651.48029813247024</v>
      </c>
      <c r="B46">
        <v>34354.650320197878</v>
      </c>
      <c r="C46">
        <v>-21520.720688674603</v>
      </c>
    </row>
    <row r="47" spans="1:3">
      <c r="A47">
        <v>665.95763809097355</v>
      </c>
      <c r="B47">
        <v>35118.086993980047</v>
      </c>
      <c r="C47">
        <v>-21998.958926200707</v>
      </c>
    </row>
    <row r="48" spans="1:3">
      <c r="A48">
        <v>680.43497804947003</v>
      </c>
      <c r="B48">
        <v>35881.523667762216</v>
      </c>
      <c r="C48">
        <v>-22477.197163726807</v>
      </c>
    </row>
    <row r="49" spans="1:3">
      <c r="A49">
        <v>694.91231800797016</v>
      </c>
      <c r="B49">
        <v>36644.960341544385</v>
      </c>
      <c r="C49">
        <v>-22955.435401252911</v>
      </c>
    </row>
    <row r="50" spans="1:3">
      <c r="A50">
        <v>709.38965796646983</v>
      </c>
      <c r="B50">
        <v>37408.397015326576</v>
      </c>
      <c r="C50">
        <v>-23433.673638779019</v>
      </c>
    </row>
    <row r="51" spans="1:3">
      <c r="A51">
        <v>723.86699792496995</v>
      </c>
      <c r="B51">
        <v>38171.83368910876</v>
      </c>
      <c r="C51">
        <v>-23911.911876305112</v>
      </c>
    </row>
    <row r="52" spans="1:3">
      <c r="A52">
        <v>738.34433788346973</v>
      </c>
      <c r="B52">
        <v>38935.270362890937</v>
      </c>
      <c r="C52">
        <v>-24390.15011383122</v>
      </c>
    </row>
    <row r="53" spans="1:3">
      <c r="A53">
        <v>752.82167784196781</v>
      </c>
      <c r="B53">
        <v>39698.707036673077</v>
      </c>
      <c r="C53">
        <v>-24868.388351357327</v>
      </c>
    </row>
    <row r="54" spans="1:3">
      <c r="A54">
        <v>767.29901780046771</v>
      </c>
      <c r="B54">
        <v>40462.14371045529</v>
      </c>
      <c r="C54">
        <v>-25346.626588883431</v>
      </c>
    </row>
    <row r="55" spans="1:3">
      <c r="A55">
        <v>781.77635775896977</v>
      </c>
      <c r="B55">
        <v>41225.580384237444</v>
      </c>
      <c r="C55">
        <v>-25824.864826409525</v>
      </c>
    </row>
    <row r="56" spans="1:3">
      <c r="A56">
        <v>796.25369771746591</v>
      </c>
      <c r="B56">
        <v>41989.017058019628</v>
      </c>
      <c r="C56">
        <v>-26303.103063935629</v>
      </c>
    </row>
    <row r="57" spans="1:3">
      <c r="A57">
        <v>810.73103767596228</v>
      </c>
      <c r="B57">
        <v>42752.453731801812</v>
      </c>
      <c r="C57">
        <v>-26781.341301461733</v>
      </c>
    </row>
    <row r="58" spans="1:3">
      <c r="A58">
        <v>825.20837763446752</v>
      </c>
      <c r="B58">
        <v>43515.890405583952</v>
      </c>
      <c r="C58">
        <v>-27259.579538987833</v>
      </c>
    </row>
    <row r="59" spans="1:3">
      <c r="A59">
        <v>839.68571759296219</v>
      </c>
      <c r="B59">
        <v>44279.327079366136</v>
      </c>
      <c r="C59">
        <v>-27737.817776513933</v>
      </c>
    </row>
    <row r="60" spans="1:3">
      <c r="A60">
        <v>854.16305755146573</v>
      </c>
      <c r="B60">
        <v>45042.763753148334</v>
      </c>
      <c r="C60">
        <v>-28216.056014040041</v>
      </c>
    </row>
    <row r="61" spans="1:3">
      <c r="A61">
        <v>868.64039750996017</v>
      </c>
      <c r="B61">
        <v>45806.200426930511</v>
      </c>
      <c r="C61">
        <v>-28694.294251566142</v>
      </c>
    </row>
    <row r="62" spans="1:3">
      <c r="A62">
        <v>883.11773746846359</v>
      </c>
      <c r="B62">
        <v>46569.637100712673</v>
      </c>
      <c r="C62">
        <v>-29172.532489092246</v>
      </c>
    </row>
    <row r="63" spans="1:3">
      <c r="A63">
        <v>897.59507742696371</v>
      </c>
      <c r="B63">
        <v>47333.073774494835</v>
      </c>
      <c r="C63">
        <v>-29650.770726618342</v>
      </c>
    </row>
    <row r="64" spans="1:3">
      <c r="A64">
        <v>912.07241738545827</v>
      </c>
      <c r="B64">
        <v>48096.510448277018</v>
      </c>
      <c r="C64">
        <v>-30129.008964144447</v>
      </c>
    </row>
    <row r="65" spans="1:3">
      <c r="A65">
        <v>926.54975734395816</v>
      </c>
      <c r="B65">
        <v>48859.947122059202</v>
      </c>
      <c r="C65">
        <v>-30607.247201670551</v>
      </c>
    </row>
    <row r="66" spans="1:3">
      <c r="A66">
        <v>941.0270973024617</v>
      </c>
      <c r="B66">
        <v>49623.383795841371</v>
      </c>
      <c r="C66">
        <v>-31085.485439196658</v>
      </c>
    </row>
    <row r="67" spans="1:3">
      <c r="A67">
        <v>955.50443726095796</v>
      </c>
      <c r="B67">
        <v>50386.820469623541</v>
      </c>
      <c r="C67">
        <v>-31563.723676722762</v>
      </c>
    </row>
    <row r="68" spans="1:3">
      <c r="A68">
        <v>969.98177721945785</v>
      </c>
      <c r="B68">
        <v>51150.257143405717</v>
      </c>
      <c r="C68">
        <v>-32041.961914248859</v>
      </c>
    </row>
    <row r="69" spans="1:3">
      <c r="A69">
        <v>984.45911717795798</v>
      </c>
      <c r="B69">
        <v>51913.693817187901</v>
      </c>
      <c r="C69">
        <v>-32520.200151774956</v>
      </c>
    </row>
    <row r="70" spans="1:3">
      <c r="A70">
        <v>998.93645713645765</v>
      </c>
      <c r="B70">
        <v>52677.130490970092</v>
      </c>
      <c r="C70">
        <v>-32998.438389301067</v>
      </c>
    </row>
    <row r="71" spans="1:3">
      <c r="A71">
        <v>1013.4137970949596</v>
      </c>
      <c r="B71">
        <v>53440.567164752276</v>
      </c>
      <c r="C71">
        <v>-33476.676626827168</v>
      </c>
    </row>
    <row r="72" spans="1:3">
      <c r="A72">
        <v>1027.8911370534543</v>
      </c>
      <c r="B72">
        <v>54204.003838534401</v>
      </c>
      <c r="C72">
        <v>-33954.914864353261</v>
      </c>
    </row>
    <row r="73" spans="1:3">
      <c r="A73">
        <v>1042.3684770119521</v>
      </c>
      <c r="B73">
        <v>54967.440512316607</v>
      </c>
      <c r="C73">
        <v>-34433.153101879376</v>
      </c>
    </row>
    <row r="74" spans="1:3">
      <c r="A74">
        <v>1056.8458169704504</v>
      </c>
      <c r="B74">
        <v>55730.877186098762</v>
      </c>
      <c r="C74">
        <v>-34911.391339405469</v>
      </c>
    </row>
    <row r="75" spans="1:3">
      <c r="A75">
        <v>1071.3231569289555</v>
      </c>
      <c r="B75">
        <v>56494.313859880982</v>
      </c>
      <c r="C75">
        <v>-35389.629576931577</v>
      </c>
    </row>
    <row r="76" spans="1:3">
      <c r="A76">
        <v>1085.8004968874538</v>
      </c>
      <c r="B76">
        <v>57257.750533663129</v>
      </c>
      <c r="C76">
        <v>-35867.867814457677</v>
      </c>
    </row>
    <row r="77" spans="1:3">
      <c r="A77">
        <v>1100.2778368459558</v>
      </c>
      <c r="B77">
        <v>58021.187207445269</v>
      </c>
      <c r="C77">
        <v>-36346.10605198377</v>
      </c>
    </row>
    <row r="78" spans="1:3">
      <c r="A78">
        <v>1114.7551768044541</v>
      </c>
      <c r="B78">
        <v>58784.623881227468</v>
      </c>
      <c r="C78">
        <v>-36824.344289509878</v>
      </c>
    </row>
    <row r="79" spans="1:3">
      <c r="A79">
        <v>1129.2325167629522</v>
      </c>
      <c r="B79">
        <v>59548.060555009652</v>
      </c>
      <c r="C79">
        <v>-37302.582527035978</v>
      </c>
    </row>
    <row r="80" spans="1:3">
      <c r="A80">
        <v>1143.7098567214462</v>
      </c>
      <c r="B80">
        <v>60311.497228791835</v>
      </c>
      <c r="C80">
        <v>-37780.820764562086</v>
      </c>
    </row>
    <row r="81" spans="1:3">
      <c r="A81">
        <v>1158.1871966799552</v>
      </c>
      <c r="B81">
        <v>61074.933902574034</v>
      </c>
      <c r="C81">
        <v>-38259.059002088186</v>
      </c>
    </row>
    <row r="82" spans="1:3">
      <c r="A82">
        <v>1172.66453663845</v>
      </c>
      <c r="B82">
        <v>61838.370576356167</v>
      </c>
      <c r="C82">
        <v>-38737.29723961428</v>
      </c>
    </row>
    <row r="83" spans="1:3">
      <c r="A83">
        <v>1187.1418765969515</v>
      </c>
      <c r="B83">
        <v>62601.807250138358</v>
      </c>
      <c r="C83">
        <v>-39215.535477140387</v>
      </c>
    </row>
    <row r="84" spans="1:3">
      <c r="A84">
        <v>1201.619216555446</v>
      </c>
      <c r="B84">
        <v>63365.24392392052</v>
      </c>
      <c r="C84">
        <v>-39693.773714666502</v>
      </c>
    </row>
    <row r="85" spans="1:3">
      <c r="A85">
        <v>1216.0965565139516</v>
      </c>
      <c r="B85">
        <v>64128.680597702703</v>
      </c>
      <c r="C85">
        <v>-40172.011952192595</v>
      </c>
    </row>
    <row r="86" spans="1:3">
      <c r="A86">
        <v>1230.5738964724458</v>
      </c>
      <c r="B86">
        <v>64892.117271484887</v>
      </c>
      <c r="C86">
        <v>-40650.250189718703</v>
      </c>
    </row>
    <row r="87" spans="1:3">
      <c r="A87">
        <v>1245.0512364309438</v>
      </c>
      <c r="B87">
        <v>65655.553945267049</v>
      </c>
      <c r="C87">
        <v>-41128.488427244811</v>
      </c>
    </row>
    <row r="88" spans="1:3">
      <c r="A88">
        <v>1259.528576389446</v>
      </c>
      <c r="B88">
        <v>66418.990619049204</v>
      </c>
      <c r="C88">
        <v>-41606.726664770904</v>
      </c>
    </row>
    <row r="89" spans="1:3">
      <c r="A89">
        <v>1274.0059163479441</v>
      </c>
      <c r="B89">
        <v>67182.427292831417</v>
      </c>
      <c r="C89">
        <v>-42084.964902297004</v>
      </c>
    </row>
    <row r="90" spans="1:3">
      <c r="A90">
        <v>1288.4832563064494</v>
      </c>
      <c r="B90">
        <v>67945.863966613571</v>
      </c>
      <c r="C90">
        <v>-42563.203139823105</v>
      </c>
    </row>
    <row r="91" spans="1:3">
      <c r="A91">
        <v>1302.9605962649405</v>
      </c>
      <c r="B91">
        <v>68709.300640395755</v>
      </c>
      <c r="C91">
        <v>-43041.441377349205</v>
      </c>
    </row>
    <row r="92" spans="1:3">
      <c r="A92">
        <v>1317.4379362234458</v>
      </c>
      <c r="B92">
        <v>69472.73731417791</v>
      </c>
      <c r="C92">
        <v>-43519.679614875313</v>
      </c>
    </row>
    <row r="93" spans="1:3">
      <c r="A93">
        <v>1331.9152761819471</v>
      </c>
      <c r="B93">
        <v>70236.173987960094</v>
      </c>
      <c r="C93">
        <v>-43997.917852401413</v>
      </c>
    </row>
    <row r="94" spans="1:3">
      <c r="A94">
        <v>1346.3926161404415</v>
      </c>
      <c r="B94">
        <v>70999.610661742292</v>
      </c>
      <c r="C94">
        <v>-44476.156089927521</v>
      </c>
    </row>
    <row r="95" spans="1:3">
      <c r="A95">
        <v>1360.8699560989401</v>
      </c>
      <c r="B95">
        <v>71763.047335524432</v>
      </c>
      <c r="C95">
        <v>-44954.394327453614</v>
      </c>
    </row>
    <row r="96" spans="1:3">
      <c r="A96">
        <v>1375.3472960574454</v>
      </c>
      <c r="B96">
        <v>72526.48400930663</v>
      </c>
      <c r="C96">
        <v>-45432.632564979722</v>
      </c>
    </row>
    <row r="97" spans="1:3">
      <c r="A97">
        <v>1389.8246360159403</v>
      </c>
      <c r="B97">
        <v>73289.920683088771</v>
      </c>
      <c r="C97">
        <v>-45910.870802505822</v>
      </c>
    </row>
    <row r="98" spans="1:3">
      <c r="A98">
        <v>1404.3019759744379</v>
      </c>
      <c r="B98">
        <v>74053.357356870954</v>
      </c>
      <c r="C98">
        <v>-46389.10904003193</v>
      </c>
    </row>
    <row r="99" spans="1:3">
      <c r="A99">
        <v>1418.7793159329397</v>
      </c>
      <c r="B99">
        <v>74816.794030653153</v>
      </c>
      <c r="C99">
        <v>-46867.347277558038</v>
      </c>
    </row>
    <row r="100" spans="1:3">
      <c r="A100">
        <v>1433.2566558914382</v>
      </c>
      <c r="B100">
        <v>75580.230704435337</v>
      </c>
      <c r="C100">
        <v>-47345.585515084131</v>
      </c>
    </row>
    <row r="101" spans="1:3">
      <c r="A101">
        <v>1447.7339958499399</v>
      </c>
      <c r="B101">
        <v>76343.66737821752</v>
      </c>
      <c r="C101">
        <v>-47823.823752610224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Torque</vt:lpstr>
      <vt:lpstr>Ring_Forces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Salvador Vargas Ortega</cp:lastModifiedBy>
  <dcterms:created xsi:type="dcterms:W3CDTF">2015-01-25T11:31:25Z</dcterms:created>
  <dcterms:modified xsi:type="dcterms:W3CDTF">2022-02-03T14:33:24Z</dcterms:modified>
</cp:coreProperties>
</file>